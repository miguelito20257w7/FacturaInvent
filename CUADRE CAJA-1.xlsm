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guelito/Library/Mobile Documents/com~apple~CloudDocs/"/>
    </mc:Choice>
  </mc:AlternateContent>
  <xr:revisionPtr revIDLastSave="0" documentId="13_ncr:1_{D0453C94-31AA-1844-B828-56A833A79B05}" xr6:coauthVersionLast="47" xr6:coauthVersionMax="47" xr10:uidLastSave="{00000000-0000-0000-0000-000000000000}"/>
  <bookViews>
    <workbookView xWindow="7360" yWindow="780" windowWidth="17700" windowHeight="12820" activeTab="2" xr2:uid="{00000000-000D-0000-FFFF-FFFF00000000}"/>
  </bookViews>
  <sheets>
    <sheet name="CUADRE CAJA" sheetId="1" r:id="rId1"/>
    <sheet name="BASE DE DATOS" sheetId="2" r:id="rId2"/>
    <sheet name="IMFORMACI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2" l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 l="1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 l="1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 l="1"/>
  <c r="M327" i="2"/>
  <c r="M328" i="2"/>
  <c r="M329" i="2"/>
  <c r="M330" i="2"/>
  <c r="M331" i="2"/>
  <c r="M332" i="2"/>
  <c r="M333" i="2"/>
  <c r="M334" i="2"/>
  <c r="M335" i="2"/>
  <c r="M336" i="2"/>
  <c r="M337" i="2" l="1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J570" i="2"/>
  <c r="M570" i="2" s="1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 l="1"/>
  <c r="M917" i="2"/>
  <c r="M918" i="2"/>
  <c r="M919" i="2" l="1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F5" i="1"/>
  <c r="C5" i="1"/>
  <c r="C4" i="1"/>
  <c r="M1008" i="2"/>
  <c r="M1009" i="2"/>
  <c r="C15" i="1"/>
  <c r="M1010" i="2"/>
  <c r="M1011" i="2"/>
  <c r="F13" i="1" l="1"/>
  <c r="F12" i="1"/>
  <c r="F11" i="1"/>
  <c r="F10" i="1"/>
  <c r="F9" i="1"/>
  <c r="F8" i="1"/>
  <c r="F7" i="1"/>
  <c r="F6" i="1"/>
  <c r="F14" i="1" l="1"/>
  <c r="G5" i="1" s="1"/>
</calcChain>
</file>

<file path=xl/sharedStrings.xml><?xml version="1.0" encoding="utf-8"?>
<sst xmlns="http://schemas.openxmlformats.org/spreadsheetml/2006/main" count="3070" uniqueCount="203">
  <si>
    <t>FECHA</t>
  </si>
  <si>
    <t>HORA</t>
  </si>
  <si>
    <t>USUARIO</t>
  </si>
  <si>
    <t>JORNADA</t>
  </si>
  <si>
    <t>ENTREGAS:</t>
  </si>
  <si>
    <t>TARJETAS</t>
  </si>
  <si>
    <t>BONOS</t>
  </si>
  <si>
    <t>BASE ANTERIOR</t>
  </si>
  <si>
    <t>FECHA:</t>
  </si>
  <si>
    <t>HORA:</t>
  </si>
  <si>
    <t>USUARIO:</t>
  </si>
  <si>
    <t>JORNADA:</t>
  </si>
  <si>
    <t>BASE ANTERIOR:</t>
  </si>
  <si>
    <t>FACT ELECTRO CREDITO:</t>
  </si>
  <si>
    <t>SOBRANTE O FALTANTE:</t>
  </si>
  <si>
    <t>NOMBRES:</t>
  </si>
  <si>
    <t xml:space="preserve">ANGELA </t>
  </si>
  <si>
    <t>MARIA</t>
  </si>
  <si>
    <t>LORAINE</t>
  </si>
  <si>
    <t>LEIDY</t>
  </si>
  <si>
    <t>GERMAN</t>
  </si>
  <si>
    <t>PABLO</t>
  </si>
  <si>
    <t>MAÑANA</t>
  </si>
  <si>
    <t>TARDE</t>
  </si>
  <si>
    <t>TODO EL DIA</t>
  </si>
  <si>
    <t>TOTAL</t>
  </si>
  <si>
    <t xml:space="preserve">BASE </t>
  </si>
  <si>
    <t>ENTREGAS</t>
  </si>
  <si>
    <t>NEQUI O QR</t>
  </si>
  <si>
    <t>VENTAS FE.CREDITO</t>
  </si>
  <si>
    <t>DENOMINACION:</t>
  </si>
  <si>
    <t>CUADRE DE CAJA</t>
  </si>
  <si>
    <t>TURNO</t>
  </si>
  <si>
    <t>TURNO:</t>
  </si>
  <si>
    <t>11:37 a. m.</t>
  </si>
  <si>
    <t>BASE DEL DIA:</t>
  </si>
  <si>
    <t>BASE DEL DIA</t>
  </si>
  <si>
    <t>VENTAS NETAS</t>
  </si>
  <si>
    <t>VENTAS NETAS:</t>
  </si>
  <si>
    <t>1:35 p. m.</t>
  </si>
  <si>
    <t>8:45 p. m.</t>
  </si>
  <si>
    <t>12:21 p. m.</t>
  </si>
  <si>
    <t>8:51 p. m.</t>
  </si>
  <si>
    <t>8:56 p. m.</t>
  </si>
  <si>
    <t>12:45 p. m.</t>
  </si>
  <si>
    <t>8:53 p. m.</t>
  </si>
  <si>
    <t>1:11 p. m.</t>
  </si>
  <si>
    <t>1:53 p. m.</t>
  </si>
  <si>
    <t>9:00 p. m.</t>
  </si>
  <si>
    <t>1:55 p. m.</t>
  </si>
  <si>
    <t>8:55 p. m.</t>
  </si>
  <si>
    <t>12:48 p. m.</t>
  </si>
  <si>
    <t>8:52 p. m.</t>
  </si>
  <si>
    <t>1:45 p. m.</t>
  </si>
  <si>
    <t>8:50 p. m.</t>
  </si>
  <si>
    <t>1:30 p. m.</t>
  </si>
  <si>
    <t>8:58 p. m.</t>
  </si>
  <si>
    <t>1:27 p. m.</t>
  </si>
  <si>
    <t>1:28 p. m.</t>
  </si>
  <si>
    <t>1:48 p. m.</t>
  </si>
  <si>
    <t>loraine</t>
  </si>
  <si>
    <t>1:26 p. m.</t>
  </si>
  <si>
    <t>1:18 p. m.</t>
  </si>
  <si>
    <t>8:48 p. m.</t>
  </si>
  <si>
    <t>1:29 p. m.</t>
  </si>
  <si>
    <t>1:37 p. m.</t>
  </si>
  <si>
    <t>8:44 p. m.</t>
  </si>
  <si>
    <t>1:56 p. m.</t>
  </si>
  <si>
    <t>1:23 p. m.</t>
  </si>
  <si>
    <t>9:05 p. m.</t>
  </si>
  <si>
    <t>3:03 p. m.</t>
  </si>
  <si>
    <t>mañana</t>
  </si>
  <si>
    <t>8:47 p. m.</t>
  </si>
  <si>
    <t>8:46 p. m.</t>
  </si>
  <si>
    <t>1:44 p. m.</t>
  </si>
  <si>
    <t>1:57 p. m.</t>
  </si>
  <si>
    <t>1:43 p. m.</t>
  </si>
  <si>
    <t>1:06 p. m.</t>
  </si>
  <si>
    <t>2:01 p. m.</t>
  </si>
  <si>
    <t>12:46 p. m.</t>
  </si>
  <si>
    <t>2:00 p. m.</t>
  </si>
  <si>
    <t>1:31 p. m.</t>
  </si>
  <si>
    <t xml:space="preserve">maria </t>
  </si>
  <si>
    <t>8:49 p. m.</t>
  </si>
  <si>
    <t>12:57 p. m.</t>
  </si>
  <si>
    <t>8:43 p. m.</t>
  </si>
  <si>
    <t>1:50 p. m.</t>
  </si>
  <si>
    <t>1:22 p. m.</t>
  </si>
  <si>
    <t>1:19 p. m.</t>
  </si>
  <si>
    <t>1:10 p. m.</t>
  </si>
  <si>
    <t>1:04 p. m.</t>
  </si>
  <si>
    <t>1:49 p. m.</t>
  </si>
  <si>
    <t>1:33 p. m.</t>
  </si>
  <si>
    <t>12:50 p. m.</t>
  </si>
  <si>
    <t>8:57 p. m.</t>
  </si>
  <si>
    <t>leidy</t>
  </si>
  <si>
    <t>8:40 p. m.</t>
  </si>
  <si>
    <t>1:52 p. m.</t>
  </si>
  <si>
    <t>LUISA</t>
  </si>
  <si>
    <t>12:55 p. m.</t>
  </si>
  <si>
    <t>1:24 p. m.</t>
  </si>
  <si>
    <t>1:38 p. m.</t>
  </si>
  <si>
    <t>2:06 p. m.</t>
  </si>
  <si>
    <t>1:09 p. m.</t>
  </si>
  <si>
    <t>1:20 p. m.</t>
  </si>
  <si>
    <t>8:37 p. m.</t>
  </si>
  <si>
    <t>8:42 p. m.</t>
  </si>
  <si>
    <t>8:41 p. m.</t>
  </si>
  <si>
    <t>2:04 p. m.</t>
  </si>
  <si>
    <t>1:34 p. m.</t>
  </si>
  <si>
    <t>8:38 p. m.</t>
  </si>
  <si>
    <t>1:25 p. m.</t>
  </si>
  <si>
    <t>1:40 p. m.</t>
  </si>
  <si>
    <t>3:04 p. m.</t>
  </si>
  <si>
    <t>3:26 p. m.</t>
  </si>
  <si>
    <t>2:24 p. m.</t>
  </si>
  <si>
    <t>1:42 p. m.</t>
  </si>
  <si>
    <t>6:04 a. m.</t>
  </si>
  <si>
    <t>9:01 p. m.</t>
  </si>
  <si>
    <t>8:59 p. m.</t>
  </si>
  <si>
    <t>1:58 p. m.</t>
  </si>
  <si>
    <t>2:09 p. m.</t>
  </si>
  <si>
    <t>8:40 p.m</t>
  </si>
  <si>
    <t>1:15 p.m</t>
  </si>
  <si>
    <t>8:54 p. m.</t>
  </si>
  <si>
    <t>1:16 p. m.</t>
  </si>
  <si>
    <t>2:10 p. m.</t>
  </si>
  <si>
    <t>12:59 p. m.</t>
  </si>
  <si>
    <t>1:36 p. m.</t>
  </si>
  <si>
    <t>1:32 p. m.</t>
  </si>
  <si>
    <t>8:39 p. m.</t>
  </si>
  <si>
    <t>1:39 p. m.</t>
  </si>
  <si>
    <t>12:52 p. m.</t>
  </si>
  <si>
    <t>MIGUELITO</t>
  </si>
  <si>
    <t>1:51 p. m.</t>
  </si>
  <si>
    <t>2:02 p. m.</t>
  </si>
  <si>
    <t>12:56 p. m.</t>
  </si>
  <si>
    <t>1:15 p. m.</t>
  </si>
  <si>
    <t>12:58 p. m.</t>
  </si>
  <si>
    <t>8:28 p. m.</t>
  </si>
  <si>
    <t>1:47 p. m.</t>
  </si>
  <si>
    <t>maria</t>
  </si>
  <si>
    <t>1:17 p. m.</t>
  </si>
  <si>
    <t>2:27 p. m.</t>
  </si>
  <si>
    <t>2:16 p. m.</t>
  </si>
  <si>
    <t>1:59 p. m.</t>
  </si>
  <si>
    <t>1:05 p. m.</t>
  </si>
  <si>
    <t>1:21 p. m.</t>
  </si>
  <si>
    <t>7:42 p. m.</t>
  </si>
  <si>
    <t>1:54 p. m.</t>
  </si>
  <si>
    <t>2:15 p. m.</t>
  </si>
  <si>
    <t>1:46 p. m.</t>
  </si>
  <si>
    <t>2:07 p. m.</t>
  </si>
  <si>
    <t>2:11 p. m.</t>
  </si>
  <si>
    <t>8:36 p. m.</t>
  </si>
  <si>
    <t>2:05 p. m.</t>
  </si>
  <si>
    <t>8:34 p. m.</t>
  </si>
  <si>
    <t>2:08 p. m.</t>
  </si>
  <si>
    <t>8:33 p. m.</t>
  </si>
  <si>
    <t>8:17 p. m.</t>
  </si>
  <si>
    <t>8:35 p. m.</t>
  </si>
  <si>
    <t>8:32 p. m.</t>
  </si>
  <si>
    <t>1:41 p. m.</t>
  </si>
  <si>
    <t>8:29 p. m.</t>
  </si>
  <si>
    <t>2:13 p. m.</t>
  </si>
  <si>
    <t>8:31 p. m.</t>
  </si>
  <si>
    <t>5:16 p. m.</t>
  </si>
  <si>
    <t>12:32 p. m.</t>
  </si>
  <si>
    <t>12:42 p. m.</t>
  </si>
  <si>
    <t>5:14 p. m.</t>
  </si>
  <si>
    <t>ADRIEN</t>
  </si>
  <si>
    <t>1:00 p. m.</t>
  </si>
  <si>
    <t>ALEJANDRA</t>
  </si>
  <si>
    <t>ADRIAN</t>
  </si>
  <si>
    <t>2:21 p. m.</t>
  </si>
  <si>
    <t>12:47 p. m.</t>
  </si>
  <si>
    <t>2:03 p. m.</t>
  </si>
  <si>
    <t>1:13 p. m.</t>
  </si>
  <si>
    <t>10:37 a. m.</t>
  </si>
  <si>
    <t>ISABELA</t>
  </si>
  <si>
    <t>ISABELLA</t>
  </si>
  <si>
    <t>1:07 p. m.</t>
  </si>
  <si>
    <t>9:03 p. m.</t>
  </si>
  <si>
    <t>2:12 p. m.</t>
  </si>
  <si>
    <t>6:22 p. m.</t>
  </si>
  <si>
    <t>3:55 p. m.</t>
  </si>
  <si>
    <t>1:14 p. m.</t>
  </si>
  <si>
    <t>12:39 p. m.</t>
  </si>
  <si>
    <t>1:03 p. m.</t>
  </si>
  <si>
    <t>1:12 p. m.</t>
  </si>
  <si>
    <t>5:53 a. m.</t>
  </si>
  <si>
    <t>1:02 p. m.</t>
  </si>
  <si>
    <t>1:08 p. m.</t>
  </si>
  <si>
    <t>8:30 p. m.</t>
  </si>
  <si>
    <t>8:27 p. m.</t>
  </si>
  <si>
    <t>7:57 p. m.</t>
  </si>
  <si>
    <t>DIANEY</t>
  </si>
  <si>
    <t>1:01 p. m.</t>
  </si>
  <si>
    <t>3:35 p. m.</t>
  </si>
  <si>
    <t>5:56 a. m.</t>
  </si>
  <si>
    <t>2:34 p. m.</t>
  </si>
  <si>
    <t>5:32 p. m.</t>
  </si>
  <si>
    <t>7:37 a.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</si>
</sst>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0" fillId="2" borderId="1" xfId="0" applyFill="1" applyBorder="1" applyAlignment="1" applyProtection="1">
      <alignment horizontal="right"/>
      <protection locked="0"/>
    </xf>
    <xf numFmtId="0" fontId="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alignment horizontal="right" indent="1"/>
      <protection locked="0"/>
    </xf>
    <xf numFmtId="3" fontId="0" fillId="2" borderId="1" xfId="0" applyNumberFormat="1" applyFill="1" applyBorder="1" applyAlignment="1" applyProtection="1">
      <alignment horizontal="center"/>
      <protection locked="0"/>
    </xf>
    <xf numFmtId="3" fontId="0" fillId="2" borderId="0" xfId="0" applyNumberFormat="1" applyFill="1" applyAlignment="1" applyProtection="1">
      <alignment horizontal="center"/>
      <protection locked="0"/>
    </xf>
    <xf numFmtId="3" fontId="1" fillId="2" borderId="0" xfId="0" applyNumberFormat="1" applyFont="1" applyFill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right"/>
      <protection locked="0"/>
    </xf>
    <xf numFmtId="3" fontId="1" fillId="2" borderId="1" xfId="0" applyNumberFormat="1" applyFont="1" applyFill="1" applyBorder="1" applyProtection="1">
      <protection locked="0"/>
    </xf>
    <xf numFmtId="14" fontId="1" fillId="2" borderId="1" xfId="0" applyNumberFormat="1" applyFont="1" applyFill="1" applyBorder="1"/>
    <xf numFmtId="18" fontId="1" fillId="2" borderId="1" xfId="0" applyNumberFormat="1" applyFont="1" applyFill="1" applyBorder="1" applyAlignment="1">
      <alignment horizontal="right"/>
    </xf>
    <xf numFmtId="3" fontId="1" fillId="2" borderId="1" xfId="0" applyNumberFormat="1" applyFont="1" applyFill="1" applyBorder="1"/>
    <xf numFmtId="3" fontId="0" fillId="2" borderId="1" xfId="0" applyNumberFormat="1" applyFill="1" applyBorder="1" applyAlignment="1">
      <alignment horizontal="center"/>
    </xf>
    <xf numFmtId="3" fontId="1" fillId="2" borderId="1" xfId="0" applyNumberFormat="1" applyFont="1" applyFill="1" applyBorder="1" applyAlignment="1">
      <alignment horizontal="center"/>
    </xf>
    <xf numFmtId="3" fontId="0" fillId="0" borderId="2" xfId="0" applyNumberFormat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15"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3" formatCode="h:mm\ AM/PM"/>
      <alignment horizontal="center" vertical="bottom" textRotation="0" wrapText="0" indent="0" justifyLastLine="0" shrinkToFit="0" readingOrder="0"/>
    </dxf>
    <dxf>
      <numFmt numFmtId="164" formatCode="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13</xdr:row>
      <xdr:rowOff>9525</xdr:rowOff>
    </xdr:from>
    <xdr:to>
      <xdr:col>4</xdr:col>
      <xdr:colOff>4191</xdr:colOff>
      <xdr:row>15</xdr:row>
      <xdr:rowOff>0</xdr:rowOff>
    </xdr:to>
    <xdr:sp macro="[0]!GUARDAR" textlink="">
      <xdr:nvSpPr>
        <xdr:cNvPr id="2" name="Rectángulo: biselado 1">
          <a:extLst>
            <a:ext uri="{FF2B5EF4-FFF2-40B4-BE49-F238E27FC236}">
              <a16:creationId xmlns:a16="http://schemas.microsoft.com/office/drawing/2014/main" id="{56C13CAE-6590-4EBA-A2FA-4998489E3783}"/>
            </a:ext>
          </a:extLst>
        </xdr:cNvPr>
        <xdr:cNvSpPr/>
      </xdr:nvSpPr>
      <xdr:spPr>
        <a:xfrm>
          <a:off x="2667000" y="2295525"/>
          <a:ext cx="1042416" cy="3714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100">
              <a:solidFill>
                <a:schemeClr val="tx1"/>
              </a:solidFill>
            </a:rPr>
            <a:t>GUARDAR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EABF05-001F-4537-950F-D5050B481ADC}" name="Tabla1" displayName="Tabla1" ref="A1:M1011" totalsRowShown="0" headerRowDxfId="14" dataDxfId="13">
  <autoFilter ref="A1:M1011" xr:uid="{CEEABF05-001F-4537-950F-D5050B481ADC}"/>
  <tableColumns count="13">
    <tableColumn id="1" xr3:uid="{54328D75-4027-419E-B8FA-559CF1FA7773}" name="TURNO" dataDxfId="12"/>
    <tableColumn id="13" xr3:uid="{B8006FB2-995B-4D27-A2D4-A55B4C431661}" name="FECHA" dataDxfId="11"/>
    <tableColumn id="2" xr3:uid="{BD1D91F5-59F5-4E37-B47B-3DC4AA98515D}" name="HORA" dataDxfId="10"/>
    <tableColumn id="3" xr3:uid="{4C704A16-1A2E-4681-9F07-43AB52230AE6}" name="USUARIO" dataDxfId="9"/>
    <tableColumn id="12" xr3:uid="{49672BE4-A2F3-427C-8FBF-DD96DDA60FDE}" name="JORNADA" dataDxfId="8"/>
    <tableColumn id="4" xr3:uid="{CABE5CF7-5888-4830-B4D4-2020E6FDE74F}" name="VENTAS NETAS" dataDxfId="7"/>
    <tableColumn id="5" xr3:uid="{55F2DFD2-D1FA-4510-B744-B4BBD76D176E}" name="ENTREGAS" dataDxfId="6"/>
    <tableColumn id="6" xr3:uid="{FD2828AB-7F4B-4B3C-8643-AC3D3CB12D7C}" name="TARJETAS" dataDxfId="5"/>
    <tableColumn id="7" xr3:uid="{C21EDC33-7208-4E1D-8DA3-304BF5679C67}" name="NEQUI O QR" dataDxfId="4"/>
    <tableColumn id="8" xr3:uid="{4AE5C124-8F84-4D34-A684-33A8A17B10A1}" name="VENTAS FE.CREDITO" dataDxfId="3"/>
    <tableColumn id="9" xr3:uid="{4F8B395E-5C04-4AD0-88D2-1EDD5A571404}" name="BASE DEL DIA" dataDxfId="2"/>
    <tableColumn id="10" xr3:uid="{51362E1E-49D7-4D00-991B-BCF0DCBBA4B4}" name="BASE ANTERIOR" dataDxfId="1"/>
    <tableColumn id="11" xr3:uid="{8181B39B-A8EF-46AC-B87A-B28DEDBC2A87}" name="TOTAL" dataDxfId="0">
      <calculatedColumnFormula>Tabla1[[#This Row],[BASE DEL DIA]]+Tabla1[[#This Row],[ENTREGAS]]+Tabla1[[#This Row],[TARJETAS]]+Tabla1[[#This Row],[NEQUI O QR]]+Tabla1[[#This Row],[VENTAS FE.CREDITO]]-Tabla1[[#This Row],[VENTAS NETAS]]-Tabla1[[#This Row],[BASE ANTERIOR]]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32"/>
  <sheetViews>
    <sheetView zoomScaleNormal="100" workbookViewId="0">
      <selection activeCell="G20" sqref="G20"/>
    </sheetView>
  </sheetViews>
  <sheetFormatPr baseColWidth="10" defaultColWidth="9.1640625" defaultRowHeight="15" x14ac:dyDescent="0.2"/>
  <cols>
    <col min="1" max="1" width="3" style="6" customWidth="1"/>
    <col min="2" max="2" width="23.6640625" style="6" bestFit="1" customWidth="1"/>
    <col min="3" max="3" width="13.1640625" style="6" customWidth="1"/>
    <col min="4" max="4" width="15.6640625" style="6" bestFit="1" customWidth="1"/>
    <col min="5" max="5" width="10.33203125" style="6" bestFit="1" customWidth="1"/>
    <col min="6" max="16384" width="9.1640625" style="6"/>
  </cols>
  <sheetData>
    <row r="1" spans="1:9" x14ac:dyDescent="0.2">
      <c r="A1" s="22" t="s">
        <v>31</v>
      </c>
      <c r="B1" s="22"/>
      <c r="C1" s="22"/>
      <c r="D1" s="22"/>
      <c r="E1" s="22"/>
      <c r="F1" s="5"/>
      <c r="G1" s="5"/>
    </row>
    <row r="2" spans="1:9" x14ac:dyDescent="0.2">
      <c r="A2" s="22"/>
      <c r="B2" s="22"/>
      <c r="C2" s="22"/>
      <c r="D2" s="22"/>
      <c r="E2" s="22"/>
      <c r="F2" s="5"/>
      <c r="G2" s="5"/>
    </row>
    <row r="3" spans="1:9" x14ac:dyDescent="0.2">
      <c r="A3" s="5"/>
      <c r="B3" s="7" t="s">
        <v>33</v>
      </c>
      <c r="C3" s="8"/>
      <c r="D3" s="9"/>
      <c r="E3" s="9"/>
      <c r="F3" s="9"/>
      <c r="G3" s="5"/>
    </row>
    <row r="4" spans="1:9" x14ac:dyDescent="0.2">
      <c r="A4" s="5"/>
      <c r="B4" s="10" t="s">
        <v>8</v>
      </c>
      <c r="C4" s="16">
        <f ca="1">TODAY()</f>
        <v>46182</v>
      </c>
      <c r="D4" s="11" t="s">
        <v>30</v>
      </c>
      <c r="E4" s="11"/>
      <c r="F4" s="11"/>
      <c r="G4" s="12" t="s">
        <v>26</v>
      </c>
    </row>
    <row r="5" spans="1:9" x14ac:dyDescent="0.2">
      <c r="A5" s="5"/>
      <c r="B5" s="10" t="s">
        <v>9</v>
      </c>
      <c r="C5" s="17" t="str">
        <f ca="1">TEXT(NOW(),"h:mm am/pm")</f>
        <v>3:22 PM</v>
      </c>
      <c r="D5" s="19">
        <v>20000</v>
      </c>
      <c r="E5" s="13">
        <v>15</v>
      </c>
      <c r="F5" s="19">
        <f>D5*E5</f>
        <v>300000</v>
      </c>
      <c r="G5" s="13">
        <f>F14</f>
        <v>887050</v>
      </c>
    </row>
    <row r="6" spans="1:9" x14ac:dyDescent="0.2">
      <c r="A6" s="5"/>
      <c r="B6" s="10" t="s">
        <v>10</v>
      </c>
      <c r="C6" s="14" t="s">
        <v>180</v>
      </c>
      <c r="D6" s="19">
        <v>10000</v>
      </c>
      <c r="E6" s="13">
        <v>20</v>
      </c>
      <c r="F6" s="19">
        <f t="shared" ref="F6:F13" si="0">D6*E6</f>
        <v>200000</v>
      </c>
      <c r="G6" s="12"/>
    </row>
    <row r="7" spans="1:9" x14ac:dyDescent="0.2">
      <c r="A7" s="5"/>
      <c r="B7" s="10" t="s">
        <v>11</v>
      </c>
      <c r="C7" s="14" t="s">
        <v>24</v>
      </c>
      <c r="D7" s="19">
        <v>5000</v>
      </c>
      <c r="E7" s="13">
        <v>20</v>
      </c>
      <c r="F7" s="19">
        <f t="shared" si="0"/>
        <v>100000</v>
      </c>
      <c r="G7" s="12"/>
    </row>
    <row r="8" spans="1:9" x14ac:dyDescent="0.2">
      <c r="A8" s="5"/>
      <c r="B8" s="10" t="s">
        <v>38</v>
      </c>
      <c r="C8" s="15"/>
      <c r="D8" s="19">
        <v>2000</v>
      </c>
      <c r="E8" s="13">
        <v>76</v>
      </c>
      <c r="F8" s="19">
        <f t="shared" si="0"/>
        <v>152000</v>
      </c>
      <c r="G8" s="12"/>
    </row>
    <row r="9" spans="1:9" x14ac:dyDescent="0.2">
      <c r="A9" s="5"/>
      <c r="B9" s="10" t="s">
        <v>4</v>
      </c>
      <c r="C9" s="15"/>
      <c r="D9" s="19">
        <v>1000</v>
      </c>
      <c r="E9" s="13">
        <v>59</v>
      </c>
      <c r="F9" s="19">
        <f>D9*E9</f>
        <v>59000</v>
      </c>
      <c r="G9" s="12"/>
    </row>
    <row r="10" spans="1:9" x14ac:dyDescent="0.2">
      <c r="A10" s="5"/>
      <c r="B10" s="10" t="s">
        <v>5</v>
      </c>
      <c r="C10" s="15"/>
      <c r="D10" s="19">
        <v>500</v>
      </c>
      <c r="E10" s="13">
        <v>80</v>
      </c>
      <c r="F10" s="19">
        <f t="shared" si="0"/>
        <v>40000</v>
      </c>
      <c r="G10" s="12"/>
    </row>
    <row r="11" spans="1:9" x14ac:dyDescent="0.2">
      <c r="A11" s="5"/>
      <c r="B11" s="10" t="s">
        <v>6</v>
      </c>
      <c r="C11" s="15"/>
      <c r="D11" s="19">
        <v>200</v>
      </c>
      <c r="E11" s="13">
        <v>123</v>
      </c>
      <c r="F11" s="19">
        <f t="shared" si="0"/>
        <v>24600</v>
      </c>
      <c r="G11" s="12"/>
    </row>
    <row r="12" spans="1:9" x14ac:dyDescent="0.2">
      <c r="A12" s="5"/>
      <c r="B12" s="10" t="s">
        <v>13</v>
      </c>
      <c r="C12" s="15"/>
      <c r="D12" s="19">
        <v>100</v>
      </c>
      <c r="E12" s="13">
        <v>114</v>
      </c>
      <c r="F12" s="19">
        <f t="shared" si="0"/>
        <v>11400</v>
      </c>
      <c r="G12" s="5"/>
    </row>
    <row r="13" spans="1:9" x14ac:dyDescent="0.2">
      <c r="A13" s="5"/>
      <c r="B13" s="10" t="s">
        <v>35</v>
      </c>
      <c r="C13" s="15"/>
      <c r="D13" s="19">
        <v>50</v>
      </c>
      <c r="E13" s="13">
        <v>1</v>
      </c>
      <c r="F13" s="19">
        <f t="shared" si="0"/>
        <v>50</v>
      </c>
      <c r="G13" s="5"/>
    </row>
    <row r="14" spans="1:9" x14ac:dyDescent="0.2">
      <c r="A14" s="5"/>
      <c r="B14" s="10" t="s">
        <v>12</v>
      </c>
      <c r="C14" s="21"/>
      <c r="D14" s="12"/>
      <c r="E14" s="11"/>
      <c r="F14" s="20">
        <f>SUM(F5:F13)</f>
        <v>887050</v>
      </c>
      <c r="G14" s="5"/>
    </row>
    <row r="15" spans="1:9" x14ac:dyDescent="0.2">
      <c r="A15" s="5"/>
      <c r="B15" s="10" t="s">
        <v>14</v>
      </c>
      <c r="C15" s="18">
        <f>C13+C9+C10+C11+C12-C8-C14</f>
        <v>0</v>
      </c>
      <c r="D15" s="5"/>
      <c r="E15" s="5"/>
      <c r="F15" s="5"/>
      <c r="G15" s="5"/>
    </row>
    <row r="16" spans="1:9" x14ac:dyDescent="0.2">
      <c r="A16" s="5"/>
      <c r="B16" s="5"/>
      <c r="C16" s="5"/>
      <c r="D16" s="5"/>
      <c r="E16" s="5"/>
      <c r="F16" s="5"/>
      <c r="G16" s="5"/>
      <c r="I16"/>
    </row>
    <row r="32" spans="5:5" x14ac:dyDescent="0.2">
      <c r="E32" s="6">
        <v>7</v>
      </c>
    </row>
  </sheetData>
  <sheetProtection algorithmName="SHA-512" hashValue="LTQVo53FL48/QeLQSx4LiJHhyil1Ihoo1Ecl3H3s1pjEV1I+vAMLPXQuaoL/FKwAQDxJGvmbOkqrnFVQMR/yMQ==" saltValue="mDlK+73zCr8MvHDZesmu2w==" spinCount="100000" sheet="1" objects="1" scenarios="1"/>
  <mergeCells count="1">
    <mergeCell ref="A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1757907-62D0-46D3-887D-7C6FD6FC3DA0}">
          <x14:formula1>
            <xm:f>IMFORMACION!$A$2:$A$15</xm:f>
          </x14:formula1>
          <xm:sqref>C6</xm:sqref>
        </x14:dataValidation>
        <x14:dataValidation type="list" allowBlank="1" showInputMessage="1" showErrorMessage="1" xr:uid="{5AFA954B-D1CB-4BFF-85C2-592336A0C1ED}">
          <x14:formula1>
            <xm:f>IMFORMACION!$B$2:$B$4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A0BA4-FFC7-4692-94A7-2C16EF764376}">
  <sheetPr codeName="Hoja2"/>
  <dimension ref="A1:M1023"/>
  <sheetViews>
    <sheetView workbookViewId="0">
      <selection activeCell="L2" sqref="L2"/>
    </sheetView>
  </sheetViews>
  <sheetFormatPr baseColWidth="10" defaultRowHeight="15" x14ac:dyDescent="0.2"/>
  <cols>
    <col min="1" max="1" width="11.5" style="1"/>
    <col min="2" max="2" width="11.5" style="2"/>
    <col min="3" max="3" width="12" style="3" bestFit="1" customWidth="1"/>
    <col min="4" max="5" width="11.5" style="1"/>
    <col min="6" max="6" width="16.1640625" style="4" customWidth="1"/>
    <col min="7" max="7" width="12.5" style="4" customWidth="1"/>
    <col min="8" max="8" width="11.5" style="4" customWidth="1"/>
    <col min="9" max="9" width="13.83203125" style="4" customWidth="1"/>
    <col min="10" max="10" width="20.6640625" style="4" customWidth="1"/>
    <col min="11" max="11" width="11.5" style="4" customWidth="1"/>
    <col min="12" max="12" width="17" style="4" customWidth="1"/>
    <col min="13" max="13" width="11.5" style="4"/>
  </cols>
  <sheetData>
    <row r="1" spans="1:13" ht="13.5" customHeight="1" x14ac:dyDescent="0.2">
      <c r="A1" s="1" t="s">
        <v>32</v>
      </c>
      <c r="B1" s="2" t="s">
        <v>0</v>
      </c>
      <c r="C1" s="3" t="s">
        <v>1</v>
      </c>
      <c r="D1" s="1" t="s">
        <v>2</v>
      </c>
      <c r="E1" s="1" t="s">
        <v>3</v>
      </c>
      <c r="F1" s="4" t="s">
        <v>37</v>
      </c>
      <c r="G1" s="4" t="s">
        <v>27</v>
      </c>
      <c r="H1" s="4" t="s">
        <v>5</v>
      </c>
      <c r="I1" s="4" t="s">
        <v>28</v>
      </c>
      <c r="J1" s="4" t="s">
        <v>29</v>
      </c>
      <c r="K1" s="4" t="s">
        <v>36</v>
      </c>
      <c r="L1" s="4" t="s">
        <v>7</v>
      </c>
      <c r="M1" s="4" t="s">
        <v>25</v>
      </c>
    </row>
    <row r="2" spans="1:13" ht="13.5" customHeight="1" x14ac:dyDescent="0.2">
      <c r="A2" s="1">
        <v>6701</v>
      </c>
      <c r="B2" s="2">
        <v>45887</v>
      </c>
      <c r="C2" s="3" t="s">
        <v>202</v>
      </c>
      <c r="D2" s="1" t="s">
        <v>180</v>
      </c>
      <c r="E2" s="1" t="s">
        <v>24</v>
      </c>
      <c r="F2" s="4">
        <v>8321000</v>
      </c>
      <c r="G2" s="4">
        <v>7139100</v>
      </c>
      <c r="H2" s="4">
        <v>888400</v>
      </c>
      <c r="I2" s="4">
        <v>207800</v>
      </c>
      <c r="J2" s="4">
        <v>76700</v>
      </c>
      <c r="K2" s="4">
        <v>887050</v>
      </c>
      <c r="L2" s="4">
        <v>886550</v>
      </c>
      <c r="M2" s="4">
        <f>Tabla1[[#This Row],[BASE DEL DIA]]+Tabla1[[#This Row],[ENTREGAS]]+Tabla1[[#This Row],[TARJETAS]]+Tabla1[[#This Row],[NEQUI O QR]]+Tabla1[[#This Row],[VENTAS FE.CREDITO]]-Tabla1[[#This Row],[VENTAS NETAS]]-Tabla1[[#This Row],[BASE ANTERIOR]]</f>
        <v>-8500</v>
      </c>
    </row>
    <row r="3" spans="1:13" ht="13.5" customHeight="1" x14ac:dyDescent="0.2">
      <c r="A3" s="1">
        <v>6700</v>
      </c>
      <c r="B3" s="2">
        <v>45885</v>
      </c>
      <c r="C3" s="3" t="s">
        <v>66</v>
      </c>
      <c r="D3" s="1" t="s">
        <v>180</v>
      </c>
      <c r="E3" s="1" t="s">
        <v>23</v>
      </c>
      <c r="F3" s="4">
        <v>5723000</v>
      </c>
      <c r="G3" s="4">
        <v>4906000</v>
      </c>
      <c r="H3" s="4">
        <v>678600</v>
      </c>
      <c r="I3" s="4">
        <v>86500</v>
      </c>
      <c r="J3" s="4">
        <v>44200</v>
      </c>
      <c r="K3" s="4">
        <v>886550</v>
      </c>
      <c r="L3" s="4">
        <v>874350</v>
      </c>
      <c r="M3" s="4">
        <f>Tabla1[[#This Row],[BASE DEL DIA]]+Tabla1[[#This Row],[ENTREGAS]]+Tabla1[[#This Row],[TARJETAS]]+Tabla1[[#This Row],[NEQUI O QR]]+Tabla1[[#This Row],[VENTAS FE.CREDITO]]-Tabla1[[#This Row],[VENTAS NETAS]]-Tabla1[[#This Row],[BASE ANTERIOR]]</f>
        <v>4500</v>
      </c>
    </row>
    <row r="4" spans="1:13" ht="13.5" customHeight="1" x14ac:dyDescent="0.2">
      <c r="A4" s="1">
        <v>6699</v>
      </c>
      <c r="B4" s="2">
        <v>45885</v>
      </c>
      <c r="C4" s="3" t="s">
        <v>201</v>
      </c>
      <c r="D4" s="1" t="s">
        <v>17</v>
      </c>
      <c r="E4" s="1" t="s">
        <v>22</v>
      </c>
      <c r="F4" s="4">
        <v>4374700</v>
      </c>
      <c r="G4" s="4">
        <v>3664070</v>
      </c>
      <c r="H4" s="4">
        <v>220000</v>
      </c>
      <c r="I4" s="4">
        <v>353200</v>
      </c>
      <c r="K4" s="4">
        <v>874350</v>
      </c>
      <c r="L4" s="4">
        <v>734750</v>
      </c>
      <c r="M4" s="4">
        <f>Tabla1[[#This Row],[BASE DEL DIA]]+Tabla1[[#This Row],[ENTREGAS]]+Tabla1[[#This Row],[TARJETAS]]+Tabla1[[#This Row],[NEQUI O QR]]+Tabla1[[#This Row],[VENTAS FE.CREDITO]]-Tabla1[[#This Row],[VENTAS NETAS]]-Tabla1[[#This Row],[BASE ANTERIOR]]</f>
        <v>2170</v>
      </c>
    </row>
    <row r="5" spans="1:13" ht="13.5" customHeight="1" x14ac:dyDescent="0.2">
      <c r="A5" s="1">
        <v>6698</v>
      </c>
      <c r="B5" s="2">
        <v>45884</v>
      </c>
      <c r="C5" s="3" t="s">
        <v>107</v>
      </c>
      <c r="D5" s="1" t="s">
        <v>17</v>
      </c>
      <c r="E5" s="1" t="s">
        <v>23</v>
      </c>
      <c r="F5" s="4">
        <v>2649100</v>
      </c>
      <c r="G5" s="4">
        <v>2319300</v>
      </c>
      <c r="H5" s="4">
        <v>345500</v>
      </c>
      <c r="I5" s="4">
        <v>121800</v>
      </c>
      <c r="K5" s="4">
        <v>734750</v>
      </c>
      <c r="L5" s="4">
        <v>867050</v>
      </c>
      <c r="M5" s="4">
        <f>Tabla1[[#This Row],[BASE DEL DIA]]+Tabla1[[#This Row],[ENTREGAS]]+Tabla1[[#This Row],[TARJETAS]]+Tabla1[[#This Row],[NEQUI O QR]]+Tabla1[[#This Row],[VENTAS FE.CREDITO]]-Tabla1[[#This Row],[VENTAS NETAS]]-Tabla1[[#This Row],[BASE ANTERIOR]]</f>
        <v>5200</v>
      </c>
    </row>
    <row r="6" spans="1:13" ht="13.5" customHeight="1" x14ac:dyDescent="0.2">
      <c r="A6" s="1">
        <v>6697</v>
      </c>
      <c r="B6" s="2">
        <v>45884</v>
      </c>
      <c r="C6" s="3" t="s">
        <v>200</v>
      </c>
      <c r="D6" s="1" t="s">
        <v>180</v>
      </c>
      <c r="E6" s="1" t="s">
        <v>23</v>
      </c>
      <c r="F6" s="4">
        <v>1997700</v>
      </c>
      <c r="G6" s="4">
        <v>1728500</v>
      </c>
      <c r="H6" s="4">
        <v>315700</v>
      </c>
      <c r="I6" s="4">
        <v>10800</v>
      </c>
      <c r="J6" s="4">
        <v>3200</v>
      </c>
      <c r="K6" s="4">
        <v>867050</v>
      </c>
      <c r="L6" s="4">
        <v>925750</v>
      </c>
      <c r="M6" s="4">
        <f>Tabla1[[#This Row],[BASE DEL DIA]]+Tabla1[[#This Row],[ENTREGAS]]+Tabla1[[#This Row],[TARJETAS]]+Tabla1[[#This Row],[NEQUI O QR]]+Tabla1[[#This Row],[VENTAS FE.CREDITO]]-Tabla1[[#This Row],[VENTAS NETAS]]-Tabla1[[#This Row],[BASE ANTERIOR]]</f>
        <v>1800</v>
      </c>
    </row>
    <row r="7" spans="1:13" ht="13.5" customHeight="1" x14ac:dyDescent="0.2">
      <c r="A7" s="1">
        <v>6696</v>
      </c>
      <c r="B7" s="2">
        <v>45884</v>
      </c>
      <c r="C7" s="3" t="s">
        <v>199</v>
      </c>
      <c r="D7" s="1" t="s">
        <v>180</v>
      </c>
      <c r="E7" s="1" t="s">
        <v>23</v>
      </c>
      <c r="F7" s="4">
        <v>2809700</v>
      </c>
      <c r="G7" s="4">
        <v>2510000</v>
      </c>
      <c r="H7" s="4">
        <v>90200</v>
      </c>
      <c r="I7" s="4">
        <v>122100</v>
      </c>
      <c r="J7" s="4">
        <v>19100</v>
      </c>
      <c r="K7" s="4">
        <v>925750</v>
      </c>
      <c r="L7" s="4">
        <v>856950</v>
      </c>
      <c r="M7" s="4">
        <f>Tabla1[[#This Row],[BASE DEL DIA]]+Tabla1[[#This Row],[ENTREGAS]]+Tabla1[[#This Row],[TARJETAS]]+Tabla1[[#This Row],[NEQUI O QR]]+Tabla1[[#This Row],[VENTAS FE.CREDITO]]-Tabla1[[#This Row],[VENTAS NETAS]]-Tabla1[[#This Row],[BASE ANTERIOR]]</f>
        <v>500</v>
      </c>
    </row>
    <row r="8" spans="1:13" ht="13.5" customHeight="1" x14ac:dyDescent="0.2">
      <c r="A8" s="1">
        <v>6695</v>
      </c>
      <c r="B8" s="2">
        <v>45883</v>
      </c>
      <c r="C8" s="3" t="s">
        <v>198</v>
      </c>
      <c r="D8" s="1" t="s">
        <v>19</v>
      </c>
      <c r="E8" s="1" t="s">
        <v>23</v>
      </c>
      <c r="F8" s="4">
        <v>1716300</v>
      </c>
      <c r="G8" s="4">
        <v>1598250</v>
      </c>
      <c r="H8" s="4">
        <v>32000</v>
      </c>
      <c r="I8" s="4">
        <v>49500</v>
      </c>
      <c r="K8" s="4">
        <v>856950</v>
      </c>
      <c r="L8" s="4">
        <v>797600</v>
      </c>
      <c r="M8" s="4">
        <f>Tabla1[[#This Row],[BASE DEL DIA]]+Tabla1[[#This Row],[ENTREGAS]]+Tabla1[[#This Row],[TARJETAS]]+Tabla1[[#This Row],[NEQUI O QR]]+Tabla1[[#This Row],[VENTAS FE.CREDITO]]-Tabla1[[#This Row],[VENTAS NETAS]]-Tabla1[[#This Row],[BASE ANTERIOR]]</f>
        <v>22800</v>
      </c>
    </row>
    <row r="9" spans="1:13" ht="13.5" customHeight="1" x14ac:dyDescent="0.2">
      <c r="A9" s="1">
        <v>6694</v>
      </c>
      <c r="B9" s="2">
        <v>45881</v>
      </c>
      <c r="C9" s="3" t="s">
        <v>197</v>
      </c>
      <c r="D9" s="1" t="s">
        <v>17</v>
      </c>
      <c r="E9" s="1" t="s">
        <v>22</v>
      </c>
      <c r="F9" s="4">
        <v>1962700</v>
      </c>
      <c r="G9" s="4">
        <v>2069300</v>
      </c>
      <c r="I9" s="4">
        <v>21100</v>
      </c>
      <c r="K9" s="4">
        <v>797600</v>
      </c>
      <c r="L9" s="4">
        <v>939850</v>
      </c>
      <c r="M9" s="4">
        <f>Tabla1[[#This Row],[BASE DEL DIA]]+Tabla1[[#This Row],[ENTREGAS]]+Tabla1[[#This Row],[TARJETAS]]+Tabla1[[#This Row],[NEQUI O QR]]+Tabla1[[#This Row],[VENTAS FE.CREDITO]]-Tabla1[[#This Row],[VENTAS NETAS]]-Tabla1[[#This Row],[BASE ANTERIOR]]</f>
        <v>-14550</v>
      </c>
    </row>
    <row r="10" spans="1:13" ht="13.5" customHeight="1" x14ac:dyDescent="0.2">
      <c r="B10" s="2">
        <v>45880</v>
      </c>
      <c r="C10" s="3" t="s">
        <v>110</v>
      </c>
      <c r="D10" s="1" t="s">
        <v>17</v>
      </c>
      <c r="E10" s="1" t="s">
        <v>23</v>
      </c>
      <c r="F10" s="4">
        <v>3794500</v>
      </c>
      <c r="G10" s="4">
        <v>3099600</v>
      </c>
      <c r="H10" s="4">
        <v>106900</v>
      </c>
      <c r="I10" s="4">
        <v>329100</v>
      </c>
      <c r="J10" s="4">
        <v>174600</v>
      </c>
      <c r="K10" s="4">
        <v>939850</v>
      </c>
      <c r="L10" s="4">
        <v>852750</v>
      </c>
      <c r="M10" s="4">
        <f>Tabla1[[#This Row],[BASE DEL DIA]]+Tabla1[[#This Row],[ENTREGAS]]+Tabla1[[#This Row],[TARJETAS]]+Tabla1[[#This Row],[NEQUI O QR]]+Tabla1[[#This Row],[VENTAS FE.CREDITO]]-Tabla1[[#This Row],[VENTAS NETAS]]-Tabla1[[#This Row],[BASE ANTERIOR]]</f>
        <v>2800</v>
      </c>
    </row>
    <row r="11" spans="1:13" ht="13.5" customHeight="1" x14ac:dyDescent="0.2">
      <c r="A11" s="1">
        <v>6692</v>
      </c>
      <c r="B11" s="2">
        <v>45880</v>
      </c>
      <c r="C11" s="3" t="s">
        <v>128</v>
      </c>
      <c r="D11" s="1" t="s">
        <v>180</v>
      </c>
      <c r="E11" s="1" t="s">
        <v>22</v>
      </c>
      <c r="F11" s="4">
        <v>2014400</v>
      </c>
      <c r="G11" s="4">
        <v>1903400</v>
      </c>
      <c r="H11" s="4">
        <v>72700</v>
      </c>
      <c r="I11" s="4">
        <v>34700</v>
      </c>
      <c r="K11" s="4">
        <v>852750</v>
      </c>
      <c r="L11" s="4">
        <v>846650</v>
      </c>
      <c r="M11" s="4">
        <f>Tabla1[[#This Row],[BASE DEL DIA]]+Tabla1[[#This Row],[ENTREGAS]]+Tabla1[[#This Row],[TARJETAS]]+Tabla1[[#This Row],[NEQUI O QR]]+Tabla1[[#This Row],[VENTAS FE.CREDITO]]-Tabla1[[#This Row],[VENTAS NETAS]]-Tabla1[[#This Row],[BASE ANTERIOR]]</f>
        <v>2500</v>
      </c>
    </row>
    <row r="12" spans="1:13" ht="13.5" customHeight="1" x14ac:dyDescent="0.2">
      <c r="A12" s="1">
        <v>6691</v>
      </c>
      <c r="B12" s="2">
        <v>45879</v>
      </c>
      <c r="C12" s="3" t="s">
        <v>165</v>
      </c>
      <c r="D12" s="1" t="s">
        <v>196</v>
      </c>
      <c r="E12" s="1" t="s">
        <v>23</v>
      </c>
      <c r="F12" s="4">
        <v>5051950</v>
      </c>
      <c r="G12" s="4">
        <v>4333000</v>
      </c>
      <c r="H12" s="4">
        <v>393300</v>
      </c>
      <c r="I12" s="4">
        <v>336350</v>
      </c>
      <c r="J12" s="4">
        <v>12300</v>
      </c>
      <c r="K12" s="4">
        <v>846650</v>
      </c>
      <c r="L12" s="4">
        <v>869300</v>
      </c>
      <c r="M12" s="4">
        <f>Tabla1[[#This Row],[BASE DEL DIA]]+Tabla1[[#This Row],[ENTREGAS]]+Tabla1[[#This Row],[TARJETAS]]+Tabla1[[#This Row],[NEQUI O QR]]+Tabla1[[#This Row],[VENTAS FE.CREDITO]]-Tabla1[[#This Row],[VENTAS NETAS]]-Tabla1[[#This Row],[BASE ANTERIOR]]</f>
        <v>350</v>
      </c>
    </row>
    <row r="13" spans="1:13" ht="13.5" customHeight="1" x14ac:dyDescent="0.2">
      <c r="A13" s="1">
        <v>6690</v>
      </c>
      <c r="B13" s="2">
        <v>45879</v>
      </c>
      <c r="C13" s="3" t="s">
        <v>51</v>
      </c>
      <c r="D13" s="1" t="s">
        <v>18</v>
      </c>
      <c r="E13" s="1" t="s">
        <v>22</v>
      </c>
      <c r="F13" s="4">
        <v>2985300</v>
      </c>
      <c r="G13" s="4">
        <v>2900000</v>
      </c>
      <c r="H13" s="4">
        <v>91300</v>
      </c>
      <c r="K13" s="4">
        <v>869300</v>
      </c>
      <c r="L13" s="4">
        <v>873650</v>
      </c>
      <c r="M13" s="4">
        <f>Tabla1[[#This Row],[BASE DEL DIA]]+Tabla1[[#This Row],[ENTREGAS]]+Tabla1[[#This Row],[TARJETAS]]+Tabla1[[#This Row],[NEQUI O QR]]+Tabla1[[#This Row],[VENTAS FE.CREDITO]]-Tabla1[[#This Row],[VENTAS NETAS]]-Tabla1[[#This Row],[BASE ANTERIOR]]</f>
        <v>1650</v>
      </c>
    </row>
    <row r="14" spans="1:13" ht="13.5" customHeight="1" x14ac:dyDescent="0.2">
      <c r="A14" s="1">
        <v>6689</v>
      </c>
      <c r="B14" s="2">
        <v>45878</v>
      </c>
      <c r="C14" s="3" t="s">
        <v>160</v>
      </c>
      <c r="D14" s="1" t="s">
        <v>18</v>
      </c>
      <c r="E14" s="1" t="s">
        <v>23</v>
      </c>
      <c r="F14" s="4">
        <v>4154500</v>
      </c>
      <c r="G14" s="4">
        <v>4010000</v>
      </c>
      <c r="H14" s="4">
        <v>194500</v>
      </c>
      <c r="I14" s="4">
        <v>36700</v>
      </c>
      <c r="J14" s="4">
        <v>3600</v>
      </c>
      <c r="K14" s="4">
        <v>873650</v>
      </c>
      <c r="L14" s="4">
        <v>963050</v>
      </c>
      <c r="M14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15" spans="1:13" ht="13.5" customHeight="1" x14ac:dyDescent="0.2">
      <c r="A15" s="1">
        <v>6683</v>
      </c>
      <c r="B15" s="2">
        <v>45878</v>
      </c>
      <c r="C15" s="3" t="s">
        <v>149</v>
      </c>
      <c r="D15" s="1" t="s">
        <v>196</v>
      </c>
      <c r="E15" s="1" t="s">
        <v>23</v>
      </c>
      <c r="F15" s="4">
        <v>2985700</v>
      </c>
      <c r="G15" s="4">
        <v>2713950</v>
      </c>
      <c r="H15" s="4">
        <v>83300</v>
      </c>
      <c r="I15" s="4">
        <v>32500</v>
      </c>
      <c r="K15" s="4">
        <v>963050</v>
      </c>
      <c r="L15" s="4">
        <v>803800</v>
      </c>
      <c r="M15" s="4">
        <f>Tabla1[[#This Row],[BASE DEL DIA]]+Tabla1[[#This Row],[ENTREGAS]]+Tabla1[[#This Row],[TARJETAS]]+Tabla1[[#This Row],[NEQUI O QR]]+Tabla1[[#This Row],[VENTAS FE.CREDITO]]-Tabla1[[#This Row],[VENTAS NETAS]]-Tabla1[[#This Row],[BASE ANTERIOR]]</f>
        <v>3300</v>
      </c>
    </row>
    <row r="16" spans="1:13" ht="13.5" customHeight="1" x14ac:dyDescent="0.2">
      <c r="A16" s="1">
        <v>6687</v>
      </c>
      <c r="B16" s="2">
        <v>45877</v>
      </c>
      <c r="C16" s="3" t="s">
        <v>130</v>
      </c>
      <c r="D16" s="1" t="s">
        <v>196</v>
      </c>
      <c r="E16" s="1" t="s">
        <v>23</v>
      </c>
      <c r="F16" s="4">
        <v>2979900</v>
      </c>
      <c r="G16" s="4">
        <v>2760000</v>
      </c>
      <c r="H16" s="4">
        <v>166300</v>
      </c>
      <c r="I16" s="4">
        <v>132100</v>
      </c>
      <c r="J16" s="4">
        <v>3900</v>
      </c>
      <c r="K16" s="4">
        <v>803800</v>
      </c>
      <c r="L16" s="4">
        <v>885500</v>
      </c>
      <c r="M16" s="4">
        <f>Tabla1[[#This Row],[BASE DEL DIA]]+Tabla1[[#This Row],[ENTREGAS]]+Tabla1[[#This Row],[TARJETAS]]+Tabla1[[#This Row],[NEQUI O QR]]+Tabla1[[#This Row],[VENTAS FE.CREDITO]]-Tabla1[[#This Row],[VENTAS NETAS]]-Tabla1[[#This Row],[BASE ANTERIOR]]</f>
        <v>700</v>
      </c>
    </row>
    <row r="17" spans="1:13" ht="13.5" customHeight="1" x14ac:dyDescent="0.2">
      <c r="A17" s="1">
        <v>6685</v>
      </c>
      <c r="B17" s="2">
        <v>45877</v>
      </c>
      <c r="C17" s="3" t="s">
        <v>102</v>
      </c>
      <c r="D17" s="1" t="s">
        <v>18</v>
      </c>
      <c r="E17" s="1" t="s">
        <v>22</v>
      </c>
      <c r="F17" s="4">
        <v>2628700</v>
      </c>
      <c r="G17" s="4">
        <v>2527900</v>
      </c>
      <c r="H17" s="4">
        <v>50300</v>
      </c>
      <c r="I17" s="4">
        <v>73300</v>
      </c>
      <c r="J17" s="4">
        <v>2900</v>
      </c>
      <c r="K17" s="4">
        <v>885500</v>
      </c>
      <c r="L17" s="4">
        <v>910900</v>
      </c>
      <c r="M17" s="4">
        <f>Tabla1[[#This Row],[BASE DEL DIA]]+Tabla1[[#This Row],[ENTREGAS]]+Tabla1[[#This Row],[TARJETAS]]+Tabla1[[#This Row],[NEQUI O QR]]+Tabla1[[#This Row],[VENTAS FE.CREDITO]]-Tabla1[[#This Row],[VENTAS NETAS]]-Tabla1[[#This Row],[BASE ANTERIOR]]</f>
        <v>300</v>
      </c>
    </row>
    <row r="18" spans="1:13" ht="13.5" customHeight="1" x14ac:dyDescent="0.2">
      <c r="A18" s="1">
        <v>6685</v>
      </c>
      <c r="B18" s="2">
        <v>45876</v>
      </c>
      <c r="C18" s="3" t="s">
        <v>193</v>
      </c>
      <c r="D18" s="1" t="s">
        <v>18</v>
      </c>
      <c r="E18" s="1" t="s">
        <v>23</v>
      </c>
      <c r="F18" s="4">
        <v>3427400</v>
      </c>
      <c r="G18" s="4">
        <v>2720000</v>
      </c>
      <c r="H18" s="4">
        <v>165800</v>
      </c>
      <c r="I18" s="4">
        <v>485000</v>
      </c>
      <c r="J18" s="4">
        <v>9200</v>
      </c>
      <c r="K18" s="4">
        <v>910900</v>
      </c>
      <c r="L18" s="4">
        <v>861750</v>
      </c>
      <c r="M18" s="4">
        <f>Tabla1[[#This Row],[BASE DEL DIA]]+Tabla1[[#This Row],[ENTREGAS]]+Tabla1[[#This Row],[TARJETAS]]+Tabla1[[#This Row],[NEQUI O QR]]+Tabla1[[#This Row],[VENTAS FE.CREDITO]]-Tabla1[[#This Row],[VENTAS NETAS]]-Tabla1[[#This Row],[BASE ANTERIOR]]</f>
        <v>1750</v>
      </c>
    </row>
    <row r="19" spans="1:13" ht="13.5" customHeight="1" x14ac:dyDescent="0.2">
      <c r="A19" s="1">
        <v>6684</v>
      </c>
      <c r="B19" s="2">
        <v>45876</v>
      </c>
      <c r="C19" s="3" t="s">
        <v>137</v>
      </c>
      <c r="D19" s="1" t="s">
        <v>196</v>
      </c>
      <c r="E19" s="1" t="s">
        <v>22</v>
      </c>
      <c r="F19" s="4">
        <v>2181300</v>
      </c>
      <c r="G19" s="4">
        <v>1839500</v>
      </c>
      <c r="H19" s="4">
        <v>13800</v>
      </c>
      <c r="I19" s="4">
        <v>133700</v>
      </c>
      <c r="J19" s="4">
        <v>134700</v>
      </c>
      <c r="K19" s="4">
        <v>861750</v>
      </c>
      <c r="L19" s="4">
        <v>804750</v>
      </c>
      <c r="M19" s="4">
        <f>Tabla1[[#This Row],[BASE DEL DIA]]+Tabla1[[#This Row],[ENTREGAS]]+Tabla1[[#This Row],[TARJETAS]]+Tabla1[[#This Row],[NEQUI O QR]]+Tabla1[[#This Row],[VENTAS FE.CREDITO]]-Tabla1[[#This Row],[VENTAS NETAS]]-Tabla1[[#This Row],[BASE ANTERIOR]]</f>
        <v>-2600</v>
      </c>
    </row>
    <row r="20" spans="1:13" ht="13.5" customHeight="1" x14ac:dyDescent="0.2">
      <c r="A20" s="1">
        <v>6683</v>
      </c>
      <c r="B20" s="2">
        <v>45875</v>
      </c>
      <c r="C20" s="3" t="s">
        <v>96</v>
      </c>
      <c r="D20" s="1" t="s">
        <v>196</v>
      </c>
      <c r="E20" s="1" t="s">
        <v>23</v>
      </c>
      <c r="F20" s="4">
        <v>3487950</v>
      </c>
      <c r="G20" s="4">
        <v>3268600</v>
      </c>
      <c r="H20" s="4">
        <v>195700</v>
      </c>
      <c r="I20" s="4">
        <v>67300</v>
      </c>
      <c r="J20" s="4">
        <v>5900</v>
      </c>
      <c r="K20" s="4">
        <v>804750</v>
      </c>
      <c r="L20" s="4">
        <v>850650</v>
      </c>
      <c r="M20" s="4">
        <f>Tabla1[[#This Row],[BASE DEL DIA]]+Tabla1[[#This Row],[ENTREGAS]]+Tabla1[[#This Row],[TARJETAS]]+Tabla1[[#This Row],[NEQUI O QR]]+Tabla1[[#This Row],[VENTAS FE.CREDITO]]-Tabla1[[#This Row],[VENTAS NETAS]]-Tabla1[[#This Row],[BASE ANTERIOR]]</f>
        <v>3650</v>
      </c>
    </row>
    <row r="21" spans="1:13" ht="13.5" customHeight="1" x14ac:dyDescent="0.2">
      <c r="B21" s="2">
        <v>45875</v>
      </c>
      <c r="C21" s="3" t="s">
        <v>128</v>
      </c>
      <c r="D21" s="1" t="s">
        <v>18</v>
      </c>
      <c r="E21" s="1" t="s">
        <v>22</v>
      </c>
      <c r="F21" s="4">
        <v>2078300</v>
      </c>
      <c r="G21" s="4">
        <v>1972500</v>
      </c>
      <c r="H21" s="4">
        <v>42700</v>
      </c>
      <c r="I21" s="4">
        <v>81800</v>
      </c>
      <c r="K21" s="4">
        <v>850650</v>
      </c>
      <c r="L21" s="4">
        <v>870300</v>
      </c>
      <c r="M21" s="4">
        <f>Tabla1[[#This Row],[BASE DEL DIA]]+Tabla1[[#This Row],[ENTREGAS]]+Tabla1[[#This Row],[TARJETAS]]+Tabla1[[#This Row],[NEQUI O QR]]+Tabla1[[#This Row],[VENTAS FE.CREDITO]]-Tabla1[[#This Row],[VENTAS NETAS]]-Tabla1[[#This Row],[BASE ANTERIOR]]</f>
        <v>-950</v>
      </c>
    </row>
    <row r="22" spans="1:13" ht="13.5" customHeight="1" x14ac:dyDescent="0.2">
      <c r="A22" s="1">
        <v>6681</v>
      </c>
      <c r="B22" s="2">
        <v>45874</v>
      </c>
      <c r="C22" s="3" t="s">
        <v>154</v>
      </c>
      <c r="D22" s="1" t="s">
        <v>18</v>
      </c>
      <c r="E22" s="1" t="s">
        <v>23</v>
      </c>
      <c r="F22" s="4">
        <v>5689200</v>
      </c>
      <c r="G22" s="4">
        <v>4030000</v>
      </c>
      <c r="H22" s="4">
        <v>1507400</v>
      </c>
      <c r="I22" s="4">
        <v>123500</v>
      </c>
      <c r="J22" s="4">
        <v>0</v>
      </c>
      <c r="K22" s="4">
        <v>870300</v>
      </c>
      <c r="L22" s="4">
        <v>839100</v>
      </c>
      <c r="M22" s="4">
        <f>Tabla1[[#This Row],[BASE DEL DIA]]+Tabla1[[#This Row],[ENTREGAS]]+Tabla1[[#This Row],[TARJETAS]]+Tabla1[[#This Row],[NEQUI O QR]]+Tabla1[[#This Row],[VENTAS FE.CREDITO]]-Tabla1[[#This Row],[VENTAS NETAS]]-Tabla1[[#This Row],[BASE ANTERIOR]]</f>
        <v>2900</v>
      </c>
    </row>
    <row r="23" spans="1:13" ht="13.5" customHeight="1" x14ac:dyDescent="0.2">
      <c r="A23" s="1">
        <v>6680</v>
      </c>
      <c r="B23" s="2">
        <v>45874</v>
      </c>
      <c r="C23" s="3" t="s">
        <v>111</v>
      </c>
      <c r="D23" s="1" t="s">
        <v>19</v>
      </c>
      <c r="E23" s="1" t="s">
        <v>22</v>
      </c>
      <c r="F23" s="4">
        <v>2117400</v>
      </c>
      <c r="G23" s="4">
        <v>1998350</v>
      </c>
      <c r="H23" s="4">
        <v>101400</v>
      </c>
      <c r="I23" s="4">
        <v>19700</v>
      </c>
      <c r="K23" s="4">
        <v>839100</v>
      </c>
      <c r="L23" s="4">
        <v>833800</v>
      </c>
      <c r="M23" s="4">
        <f>Tabla1[[#This Row],[BASE DEL DIA]]+Tabla1[[#This Row],[ENTREGAS]]+Tabla1[[#This Row],[TARJETAS]]+Tabla1[[#This Row],[NEQUI O QR]]+Tabla1[[#This Row],[VENTAS FE.CREDITO]]-Tabla1[[#This Row],[VENTAS NETAS]]-Tabla1[[#This Row],[BASE ANTERIOR]]</f>
        <v>7350</v>
      </c>
    </row>
    <row r="24" spans="1:13" ht="13.5" customHeight="1" x14ac:dyDescent="0.2">
      <c r="A24" s="1">
        <v>6679</v>
      </c>
      <c r="B24" s="2">
        <v>45873</v>
      </c>
      <c r="C24" s="3" t="s">
        <v>106</v>
      </c>
      <c r="D24" s="1" t="s">
        <v>196</v>
      </c>
      <c r="E24" s="1" t="s">
        <v>23</v>
      </c>
      <c r="F24" s="4">
        <v>5095400</v>
      </c>
      <c r="G24" s="4">
        <v>4538000</v>
      </c>
      <c r="H24" s="4">
        <v>447000</v>
      </c>
      <c r="I24" s="4">
        <v>147300</v>
      </c>
      <c r="J24" s="4">
        <v>13500</v>
      </c>
      <c r="K24" s="4">
        <v>833800</v>
      </c>
      <c r="L24" s="4">
        <v>876250</v>
      </c>
      <c r="M24" s="4">
        <f>Tabla1[[#This Row],[BASE DEL DIA]]+Tabla1[[#This Row],[ENTREGAS]]+Tabla1[[#This Row],[TARJETAS]]+Tabla1[[#This Row],[NEQUI O QR]]+Tabla1[[#This Row],[VENTAS FE.CREDITO]]-Tabla1[[#This Row],[VENTAS NETAS]]-Tabla1[[#This Row],[BASE ANTERIOR]]</f>
        <v>7950</v>
      </c>
    </row>
    <row r="25" spans="1:13" ht="13.5" customHeight="1" x14ac:dyDescent="0.2">
      <c r="A25" s="1">
        <v>6678</v>
      </c>
      <c r="B25" s="2">
        <v>45873</v>
      </c>
      <c r="C25" s="3" t="s">
        <v>68</v>
      </c>
      <c r="D25" s="1" t="s">
        <v>18</v>
      </c>
      <c r="E25" s="1" t="s">
        <v>22</v>
      </c>
      <c r="F25" s="4">
        <v>2924600</v>
      </c>
      <c r="G25" s="4">
        <v>2760000</v>
      </c>
      <c r="H25" s="4">
        <v>77400</v>
      </c>
      <c r="I25" s="4">
        <v>8900</v>
      </c>
      <c r="K25" s="4">
        <v>876250</v>
      </c>
      <c r="L25" s="4">
        <v>799400</v>
      </c>
      <c r="M25" s="4">
        <f>Tabla1[[#This Row],[BASE DEL DIA]]+Tabla1[[#This Row],[ENTREGAS]]+Tabla1[[#This Row],[TARJETAS]]+Tabla1[[#This Row],[NEQUI O QR]]+Tabla1[[#This Row],[VENTAS FE.CREDITO]]-Tabla1[[#This Row],[VENTAS NETAS]]-Tabla1[[#This Row],[BASE ANTERIOR]]</f>
        <v>-1450</v>
      </c>
    </row>
    <row r="26" spans="1:13" ht="13.5" customHeight="1" x14ac:dyDescent="0.2">
      <c r="A26" s="1">
        <v>6677</v>
      </c>
      <c r="B26" s="2">
        <v>45872</v>
      </c>
      <c r="C26" s="3" t="s">
        <v>161</v>
      </c>
      <c r="D26" s="1" t="s">
        <v>17</v>
      </c>
      <c r="E26" s="1" t="s">
        <v>23</v>
      </c>
      <c r="F26" s="4">
        <v>5457500</v>
      </c>
      <c r="G26" s="4">
        <v>4964000</v>
      </c>
      <c r="H26" s="4">
        <v>369100</v>
      </c>
      <c r="I26" s="4">
        <v>272800</v>
      </c>
      <c r="J26" s="4">
        <v>11300</v>
      </c>
      <c r="K26" s="4">
        <v>799400</v>
      </c>
      <c r="L26" s="4">
        <v>956150</v>
      </c>
      <c r="M26" s="4">
        <f>Tabla1[[#This Row],[BASE DEL DIA]]+Tabla1[[#This Row],[ENTREGAS]]+Tabla1[[#This Row],[TARJETAS]]+Tabla1[[#This Row],[NEQUI O QR]]+Tabla1[[#This Row],[VENTAS FE.CREDITO]]-Tabla1[[#This Row],[VENTAS NETAS]]-Tabla1[[#This Row],[BASE ANTERIOR]]</f>
        <v>2950</v>
      </c>
    </row>
    <row r="27" spans="1:13" ht="13.5" customHeight="1" x14ac:dyDescent="0.2">
      <c r="A27" s="1">
        <v>6676</v>
      </c>
      <c r="B27" s="2">
        <v>45872</v>
      </c>
      <c r="C27" s="3" t="s">
        <v>51</v>
      </c>
      <c r="D27" s="1" t="s">
        <v>180</v>
      </c>
      <c r="E27" s="1" t="s">
        <v>22</v>
      </c>
      <c r="F27" s="4">
        <v>4317100</v>
      </c>
      <c r="G27" s="4">
        <v>3638700</v>
      </c>
      <c r="H27" s="4">
        <v>624300</v>
      </c>
      <c r="K27" s="4">
        <v>956150</v>
      </c>
      <c r="L27" s="4">
        <v>906050</v>
      </c>
      <c r="M27" s="4">
        <f>Tabla1[[#This Row],[BASE DEL DIA]]+Tabla1[[#This Row],[ENTREGAS]]+Tabla1[[#This Row],[TARJETAS]]+Tabla1[[#This Row],[NEQUI O QR]]+Tabla1[[#This Row],[VENTAS FE.CREDITO]]-Tabla1[[#This Row],[VENTAS NETAS]]-Tabla1[[#This Row],[BASE ANTERIOR]]</f>
        <v>-4000</v>
      </c>
    </row>
    <row r="28" spans="1:13" ht="13.5" customHeight="1" x14ac:dyDescent="0.2">
      <c r="A28" s="1">
        <v>6675</v>
      </c>
      <c r="B28" s="2">
        <v>45871</v>
      </c>
      <c r="C28" s="3" t="s">
        <v>106</v>
      </c>
      <c r="D28" s="1" t="s">
        <v>180</v>
      </c>
      <c r="E28" s="1" t="s">
        <v>23</v>
      </c>
      <c r="F28" s="4">
        <v>5030600</v>
      </c>
      <c r="G28" s="4">
        <v>4430200</v>
      </c>
      <c r="H28" s="4">
        <v>460000</v>
      </c>
      <c r="I28" s="4">
        <v>86100</v>
      </c>
      <c r="J28" s="4">
        <v>49600</v>
      </c>
      <c r="K28" s="4">
        <v>906050</v>
      </c>
      <c r="L28" s="4">
        <v>899500</v>
      </c>
      <c r="M28" s="4">
        <f>Tabla1[[#This Row],[BASE DEL DIA]]+Tabla1[[#This Row],[ENTREGAS]]+Tabla1[[#This Row],[TARJETAS]]+Tabla1[[#This Row],[NEQUI O QR]]+Tabla1[[#This Row],[VENTAS FE.CREDITO]]-Tabla1[[#This Row],[VENTAS NETAS]]-Tabla1[[#This Row],[BASE ANTERIOR]]</f>
        <v>1850</v>
      </c>
    </row>
    <row r="29" spans="1:13" ht="13.5" customHeight="1" x14ac:dyDescent="0.2">
      <c r="B29" s="2">
        <v>45871</v>
      </c>
      <c r="C29" s="3" t="s">
        <v>186</v>
      </c>
      <c r="D29" s="1" t="s">
        <v>17</v>
      </c>
      <c r="E29" s="1" t="s">
        <v>23</v>
      </c>
      <c r="F29" s="4">
        <v>3017300</v>
      </c>
      <c r="G29" s="4">
        <v>2771700</v>
      </c>
      <c r="H29" s="4">
        <v>113800</v>
      </c>
      <c r="I29" s="4">
        <v>106300</v>
      </c>
      <c r="K29" s="4">
        <v>899500</v>
      </c>
      <c r="L29" s="4">
        <v>874150</v>
      </c>
      <c r="M29" s="4">
        <f>Tabla1[[#This Row],[BASE DEL DIA]]+Tabla1[[#This Row],[ENTREGAS]]+Tabla1[[#This Row],[TARJETAS]]+Tabla1[[#This Row],[NEQUI O QR]]+Tabla1[[#This Row],[VENTAS FE.CREDITO]]-Tabla1[[#This Row],[VENTAS NETAS]]-Tabla1[[#This Row],[BASE ANTERIOR]]</f>
        <v>-150</v>
      </c>
    </row>
    <row r="30" spans="1:13" ht="13.5" customHeight="1" x14ac:dyDescent="0.2">
      <c r="A30" s="1">
        <v>6673</v>
      </c>
      <c r="B30" s="2">
        <v>45870</v>
      </c>
      <c r="C30" s="3" t="s">
        <v>96</v>
      </c>
      <c r="D30" s="1" t="s">
        <v>17</v>
      </c>
      <c r="E30" s="1" t="s">
        <v>23</v>
      </c>
      <c r="F30" s="4">
        <v>5132600</v>
      </c>
      <c r="G30" s="4">
        <v>4600000</v>
      </c>
      <c r="H30" s="4">
        <v>241400</v>
      </c>
      <c r="I30" s="4">
        <v>310000</v>
      </c>
      <c r="J30" s="4">
        <v>0</v>
      </c>
      <c r="K30" s="4">
        <v>874150</v>
      </c>
      <c r="L30" s="4">
        <v>892950</v>
      </c>
      <c r="M30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31" spans="1:13" ht="13.5" customHeight="1" x14ac:dyDescent="0.2">
      <c r="A31" s="1">
        <v>6672</v>
      </c>
      <c r="B31" s="2">
        <v>45870</v>
      </c>
      <c r="C31" s="3" t="s">
        <v>68</v>
      </c>
      <c r="D31" s="1" t="s">
        <v>19</v>
      </c>
      <c r="E31" s="1" t="s">
        <v>22</v>
      </c>
      <c r="F31" s="4">
        <v>3457300</v>
      </c>
      <c r="G31" s="4">
        <v>2981700</v>
      </c>
      <c r="H31" s="4">
        <v>243200</v>
      </c>
      <c r="I31" s="4">
        <v>213650</v>
      </c>
      <c r="K31" s="4">
        <v>892950</v>
      </c>
      <c r="L31" s="4">
        <v>884400</v>
      </c>
      <c r="M31" s="4">
        <f>Tabla1[[#This Row],[BASE DEL DIA]]+Tabla1[[#This Row],[ENTREGAS]]+Tabla1[[#This Row],[TARJETAS]]+Tabla1[[#This Row],[NEQUI O QR]]+Tabla1[[#This Row],[VENTAS FE.CREDITO]]-Tabla1[[#This Row],[VENTAS NETAS]]-Tabla1[[#This Row],[BASE ANTERIOR]]</f>
        <v>-10200</v>
      </c>
    </row>
    <row r="32" spans="1:13" ht="13.5" customHeight="1" x14ac:dyDescent="0.2">
      <c r="A32" s="1">
        <v>6671</v>
      </c>
      <c r="B32" s="2">
        <v>45869</v>
      </c>
      <c r="C32" s="3" t="s">
        <v>130</v>
      </c>
      <c r="D32" s="1" t="s">
        <v>180</v>
      </c>
      <c r="E32" s="1" t="s">
        <v>23</v>
      </c>
      <c r="F32" s="4">
        <v>5770900</v>
      </c>
      <c r="G32" s="4">
        <v>4360000</v>
      </c>
      <c r="H32" s="4">
        <v>1082800</v>
      </c>
      <c r="I32" s="4">
        <v>46200</v>
      </c>
      <c r="J32" s="4">
        <v>228700</v>
      </c>
      <c r="K32" s="4">
        <v>884400</v>
      </c>
      <c r="L32" s="4">
        <v>829650</v>
      </c>
      <c r="M32" s="4">
        <f>Tabla1[[#This Row],[BASE DEL DIA]]+Tabla1[[#This Row],[ENTREGAS]]+Tabla1[[#This Row],[TARJETAS]]+Tabla1[[#This Row],[NEQUI O QR]]+Tabla1[[#This Row],[VENTAS FE.CREDITO]]-Tabla1[[#This Row],[VENTAS NETAS]]-Tabla1[[#This Row],[BASE ANTERIOR]]</f>
        <v>1550</v>
      </c>
    </row>
    <row r="33" spans="1:13" ht="13.5" customHeight="1" x14ac:dyDescent="0.2">
      <c r="A33" s="1">
        <v>6670</v>
      </c>
      <c r="B33" s="2">
        <v>45869</v>
      </c>
      <c r="C33" s="3" t="s">
        <v>193</v>
      </c>
      <c r="D33" s="1" t="s">
        <v>17</v>
      </c>
      <c r="E33" s="1" t="s">
        <v>22</v>
      </c>
      <c r="F33" s="4">
        <v>3327700</v>
      </c>
      <c r="G33" s="4">
        <v>2796000</v>
      </c>
      <c r="H33" s="4">
        <v>367900</v>
      </c>
      <c r="I33" s="4">
        <v>202900</v>
      </c>
      <c r="K33" s="4">
        <v>829650</v>
      </c>
      <c r="L33" s="4">
        <v>865050</v>
      </c>
      <c r="M33" s="4">
        <f>Tabla1[[#This Row],[BASE DEL DIA]]+Tabla1[[#This Row],[ENTREGAS]]+Tabla1[[#This Row],[TARJETAS]]+Tabla1[[#This Row],[NEQUI O QR]]+Tabla1[[#This Row],[VENTAS FE.CREDITO]]-Tabla1[[#This Row],[VENTAS NETAS]]-Tabla1[[#This Row],[BASE ANTERIOR]]</f>
        <v>3700</v>
      </c>
    </row>
    <row r="34" spans="1:13" ht="13.5" customHeight="1" x14ac:dyDescent="0.2">
      <c r="A34" s="1">
        <v>6669</v>
      </c>
      <c r="B34" s="2">
        <v>45868</v>
      </c>
      <c r="C34" s="3" t="s">
        <v>160</v>
      </c>
      <c r="D34" s="1" t="s">
        <v>180</v>
      </c>
      <c r="E34" s="1" t="s">
        <v>23</v>
      </c>
      <c r="F34" s="4">
        <v>3892000</v>
      </c>
      <c r="G34" s="4">
        <v>3487600</v>
      </c>
      <c r="H34" s="4">
        <v>284800</v>
      </c>
      <c r="I34" s="4">
        <v>99300</v>
      </c>
      <c r="K34" s="4">
        <v>865050</v>
      </c>
      <c r="L34" s="4">
        <v>840800</v>
      </c>
      <c r="M34" s="4">
        <f>Tabla1[[#This Row],[BASE DEL DIA]]+Tabla1[[#This Row],[ENTREGAS]]+Tabla1[[#This Row],[TARJETAS]]+Tabla1[[#This Row],[NEQUI O QR]]+Tabla1[[#This Row],[VENTAS FE.CREDITO]]-Tabla1[[#This Row],[VENTAS NETAS]]-Tabla1[[#This Row],[BASE ANTERIOR]]</f>
        <v>3950</v>
      </c>
    </row>
    <row r="35" spans="1:13" ht="13.5" customHeight="1" x14ac:dyDescent="0.2">
      <c r="A35" s="1">
        <v>6668</v>
      </c>
      <c r="B35" s="2">
        <v>45868</v>
      </c>
      <c r="C35" s="3" t="s">
        <v>57</v>
      </c>
      <c r="D35" s="1" t="s">
        <v>19</v>
      </c>
      <c r="E35" s="1" t="s">
        <v>22</v>
      </c>
      <c r="F35" s="4">
        <v>1604700</v>
      </c>
      <c r="G35" s="4">
        <v>1546600</v>
      </c>
      <c r="H35" s="4">
        <v>50000</v>
      </c>
      <c r="I35" s="4">
        <v>47800</v>
      </c>
      <c r="K35" s="4">
        <v>840800</v>
      </c>
      <c r="L35" s="4">
        <v>874400</v>
      </c>
      <c r="M35" s="4">
        <f>Tabla1[[#This Row],[BASE DEL DIA]]+Tabla1[[#This Row],[ENTREGAS]]+Tabla1[[#This Row],[TARJETAS]]+Tabla1[[#This Row],[NEQUI O QR]]+Tabla1[[#This Row],[VENTAS FE.CREDITO]]-Tabla1[[#This Row],[VENTAS NETAS]]-Tabla1[[#This Row],[BASE ANTERIOR]]</f>
        <v>6100</v>
      </c>
    </row>
    <row r="36" spans="1:13" ht="13.5" customHeight="1" x14ac:dyDescent="0.2">
      <c r="A36" s="1">
        <v>6667</v>
      </c>
      <c r="B36" s="2">
        <v>45867</v>
      </c>
      <c r="C36" s="3" t="s">
        <v>110</v>
      </c>
      <c r="D36" s="1" t="s">
        <v>180</v>
      </c>
      <c r="E36" s="1" t="s">
        <v>23</v>
      </c>
      <c r="F36" s="4">
        <v>4204900</v>
      </c>
      <c r="G36" s="4">
        <v>3578600</v>
      </c>
      <c r="H36" s="4">
        <v>342000</v>
      </c>
      <c r="I36" s="4">
        <v>135900</v>
      </c>
      <c r="J36" s="4">
        <v>69300</v>
      </c>
      <c r="K36" s="4">
        <v>874400</v>
      </c>
      <c r="L36" s="4">
        <v>792850</v>
      </c>
      <c r="M36" s="4">
        <f>Tabla1[[#This Row],[BASE DEL DIA]]+Tabla1[[#This Row],[ENTREGAS]]+Tabla1[[#This Row],[TARJETAS]]+Tabla1[[#This Row],[NEQUI O QR]]+Tabla1[[#This Row],[VENTAS FE.CREDITO]]-Tabla1[[#This Row],[VENTAS NETAS]]-Tabla1[[#This Row],[BASE ANTERIOR]]</f>
        <v>2450</v>
      </c>
    </row>
    <row r="37" spans="1:13" ht="13.5" customHeight="1" x14ac:dyDescent="0.2">
      <c r="A37" s="1">
        <v>6666</v>
      </c>
      <c r="B37" s="2">
        <v>45867</v>
      </c>
      <c r="C37" s="3" t="s">
        <v>116</v>
      </c>
      <c r="D37" s="1" t="s">
        <v>17</v>
      </c>
      <c r="E37" s="1" t="s">
        <v>22</v>
      </c>
      <c r="F37" s="4">
        <v>1997700</v>
      </c>
      <c r="G37" s="4">
        <v>1771100</v>
      </c>
      <c r="H37" s="4">
        <v>286400</v>
      </c>
      <c r="I37" s="4">
        <v>47000</v>
      </c>
      <c r="K37" s="4">
        <v>792850</v>
      </c>
      <c r="L37" s="4">
        <v>902050</v>
      </c>
      <c r="M37" s="4">
        <f>Tabla1[[#This Row],[BASE DEL DIA]]+Tabla1[[#This Row],[ENTREGAS]]+Tabla1[[#This Row],[TARJETAS]]+Tabla1[[#This Row],[NEQUI O QR]]+Tabla1[[#This Row],[VENTAS FE.CREDITO]]-Tabla1[[#This Row],[VENTAS NETAS]]-Tabla1[[#This Row],[BASE ANTERIOR]]</f>
        <v>-2400</v>
      </c>
    </row>
    <row r="38" spans="1:13" ht="13.5" customHeight="1" x14ac:dyDescent="0.2">
      <c r="A38" s="1">
        <v>6665</v>
      </c>
      <c r="B38" s="2">
        <v>45866</v>
      </c>
      <c r="C38" s="3" t="s">
        <v>105</v>
      </c>
      <c r="D38" s="1" t="s">
        <v>17</v>
      </c>
      <c r="E38" s="1" t="s">
        <v>23</v>
      </c>
      <c r="F38" s="4">
        <v>3678900</v>
      </c>
      <c r="G38" s="4">
        <v>3314600</v>
      </c>
      <c r="H38" s="4">
        <v>77400</v>
      </c>
      <c r="I38" s="4">
        <v>147500</v>
      </c>
      <c r="J38" s="4">
        <v>53600</v>
      </c>
      <c r="K38" s="4">
        <v>902050</v>
      </c>
      <c r="L38" s="4">
        <v>813300</v>
      </c>
      <c r="M38" s="4">
        <f>Tabla1[[#This Row],[BASE DEL DIA]]+Tabla1[[#This Row],[ENTREGAS]]+Tabla1[[#This Row],[TARJETAS]]+Tabla1[[#This Row],[NEQUI O QR]]+Tabla1[[#This Row],[VENTAS FE.CREDITO]]-Tabla1[[#This Row],[VENTAS NETAS]]-Tabla1[[#This Row],[BASE ANTERIOR]]</f>
        <v>2950</v>
      </c>
    </row>
    <row r="39" spans="1:13" ht="13.5" customHeight="1" x14ac:dyDescent="0.2">
      <c r="A39" s="1">
        <v>6664</v>
      </c>
      <c r="B39" s="2">
        <v>45866</v>
      </c>
      <c r="C39" s="3" t="s">
        <v>55</v>
      </c>
      <c r="D39" s="1" t="s">
        <v>180</v>
      </c>
      <c r="E39" s="1" t="s">
        <v>22</v>
      </c>
      <c r="F39" s="4">
        <v>3234400</v>
      </c>
      <c r="G39" s="4">
        <v>3084600</v>
      </c>
      <c r="H39" s="4">
        <v>140400</v>
      </c>
      <c r="I39" s="4">
        <v>57300</v>
      </c>
      <c r="J39" s="4">
        <v>19700</v>
      </c>
      <c r="K39" s="4">
        <v>813300</v>
      </c>
      <c r="L39" s="4">
        <v>876400</v>
      </c>
      <c r="M39" s="4">
        <f>Tabla1[[#This Row],[BASE DEL DIA]]+Tabla1[[#This Row],[ENTREGAS]]+Tabla1[[#This Row],[TARJETAS]]+Tabla1[[#This Row],[NEQUI O QR]]+Tabla1[[#This Row],[VENTAS FE.CREDITO]]-Tabla1[[#This Row],[VENTAS NETAS]]-Tabla1[[#This Row],[BASE ANTERIOR]]</f>
        <v>4500</v>
      </c>
    </row>
    <row r="40" spans="1:13" ht="13.5" customHeight="1" x14ac:dyDescent="0.2">
      <c r="A40" s="1">
        <v>6663</v>
      </c>
      <c r="B40" s="2">
        <v>45865</v>
      </c>
      <c r="C40" s="3" t="s">
        <v>160</v>
      </c>
      <c r="D40" s="1" t="s">
        <v>19</v>
      </c>
      <c r="E40" s="1" t="s">
        <v>23</v>
      </c>
      <c r="F40" s="4">
        <v>5400300</v>
      </c>
      <c r="G40" s="4">
        <v>5015000</v>
      </c>
      <c r="H40" s="4">
        <v>193200</v>
      </c>
      <c r="I40" s="4">
        <v>296200</v>
      </c>
      <c r="K40" s="4">
        <v>876400</v>
      </c>
      <c r="L40" s="4">
        <v>981300</v>
      </c>
      <c r="M40" s="4">
        <f>Tabla1[[#This Row],[BASE DEL DIA]]+Tabla1[[#This Row],[ENTREGAS]]+Tabla1[[#This Row],[TARJETAS]]+Tabla1[[#This Row],[NEQUI O QR]]+Tabla1[[#This Row],[VENTAS FE.CREDITO]]-Tabla1[[#This Row],[VENTAS NETAS]]-Tabla1[[#This Row],[BASE ANTERIOR]]</f>
        <v>-800</v>
      </c>
    </row>
    <row r="41" spans="1:13" ht="13.5" customHeight="1" x14ac:dyDescent="0.2">
      <c r="A41" s="1">
        <v>6662</v>
      </c>
      <c r="B41" s="2">
        <v>45865</v>
      </c>
      <c r="C41" s="3" t="s">
        <v>44</v>
      </c>
      <c r="D41" s="1" t="s">
        <v>18</v>
      </c>
      <c r="E41" s="1" t="s">
        <v>22</v>
      </c>
      <c r="F41" s="4">
        <v>3434500</v>
      </c>
      <c r="G41" s="4">
        <v>3215400</v>
      </c>
      <c r="H41" s="4">
        <v>133500</v>
      </c>
      <c r="I41" s="4">
        <v>66000</v>
      </c>
      <c r="J41" s="4">
        <v>1600</v>
      </c>
      <c r="K41" s="4">
        <v>981300</v>
      </c>
      <c r="L41" s="4">
        <v>962000</v>
      </c>
      <c r="M41" s="4">
        <f>Tabla1[[#This Row],[BASE DEL DIA]]+Tabla1[[#This Row],[ENTREGAS]]+Tabla1[[#This Row],[TARJETAS]]+Tabla1[[#This Row],[NEQUI O QR]]+Tabla1[[#This Row],[VENTAS FE.CREDITO]]-Tabla1[[#This Row],[VENTAS NETAS]]-Tabla1[[#This Row],[BASE ANTERIOR]]</f>
        <v>1300</v>
      </c>
    </row>
    <row r="42" spans="1:13" ht="13.5" customHeight="1" x14ac:dyDescent="0.2">
      <c r="A42" s="1">
        <v>6661</v>
      </c>
      <c r="B42" s="2">
        <v>45864</v>
      </c>
      <c r="C42" s="3" t="s">
        <v>154</v>
      </c>
      <c r="D42" s="1" t="s">
        <v>18</v>
      </c>
      <c r="E42" s="1" t="s">
        <v>23</v>
      </c>
      <c r="F42" s="4">
        <v>4014300</v>
      </c>
      <c r="G42" s="4">
        <v>3350000</v>
      </c>
      <c r="H42" s="4">
        <v>246200</v>
      </c>
      <c r="I42" s="4">
        <v>243500</v>
      </c>
      <c r="J42" s="4">
        <v>24500</v>
      </c>
      <c r="K42" s="4">
        <v>962000</v>
      </c>
      <c r="L42" s="4">
        <v>811300</v>
      </c>
      <c r="M42" s="4">
        <f>Tabla1[[#This Row],[BASE DEL DIA]]+Tabla1[[#This Row],[ENTREGAS]]+Tabla1[[#This Row],[TARJETAS]]+Tabla1[[#This Row],[NEQUI O QR]]+Tabla1[[#This Row],[VENTAS FE.CREDITO]]-Tabla1[[#This Row],[VENTAS NETAS]]-Tabla1[[#This Row],[BASE ANTERIOR]]</f>
        <v>600</v>
      </c>
    </row>
    <row r="43" spans="1:13" ht="13.5" customHeight="1" x14ac:dyDescent="0.2">
      <c r="A43" s="1">
        <v>6660</v>
      </c>
      <c r="B43" s="2">
        <v>45864</v>
      </c>
      <c r="C43" s="3" t="s">
        <v>131</v>
      </c>
      <c r="D43" s="1" t="s">
        <v>196</v>
      </c>
      <c r="E43" s="1" t="s">
        <v>22</v>
      </c>
      <c r="F43" s="4">
        <v>2733600</v>
      </c>
      <c r="G43" s="4">
        <v>2280000</v>
      </c>
      <c r="H43" s="4">
        <v>151600</v>
      </c>
      <c r="I43" s="4">
        <v>330600</v>
      </c>
      <c r="J43" s="4">
        <v>3600</v>
      </c>
      <c r="K43" s="4">
        <v>811300</v>
      </c>
      <c r="L43" s="4">
        <v>842600</v>
      </c>
      <c r="M43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44" spans="1:13" ht="13.5" customHeight="1" x14ac:dyDescent="0.2">
      <c r="A44" s="1">
        <v>6659</v>
      </c>
      <c r="B44" s="2">
        <v>45863</v>
      </c>
      <c r="C44" s="3" t="s">
        <v>85</v>
      </c>
      <c r="D44" s="1" t="s">
        <v>196</v>
      </c>
      <c r="E44" s="1" t="s">
        <v>23</v>
      </c>
      <c r="F44" s="4">
        <v>3461400</v>
      </c>
      <c r="G44" s="4">
        <v>2854200</v>
      </c>
      <c r="H44" s="4">
        <v>231800</v>
      </c>
      <c r="I44" s="4">
        <v>314000</v>
      </c>
      <c r="K44" s="4">
        <v>842600</v>
      </c>
      <c r="L44" s="4">
        <v>781500</v>
      </c>
      <c r="M44" s="4">
        <f>Tabla1[[#This Row],[BASE DEL DIA]]+Tabla1[[#This Row],[ENTREGAS]]+Tabla1[[#This Row],[TARJETAS]]+Tabla1[[#This Row],[NEQUI O QR]]+Tabla1[[#This Row],[VENTAS FE.CREDITO]]-Tabla1[[#This Row],[VENTAS NETAS]]-Tabla1[[#This Row],[BASE ANTERIOR]]</f>
        <v>-300</v>
      </c>
    </row>
    <row r="45" spans="1:13" ht="13.5" customHeight="1" x14ac:dyDescent="0.2">
      <c r="A45" s="1">
        <v>6658</v>
      </c>
      <c r="B45" s="2">
        <v>45863</v>
      </c>
      <c r="C45" s="3" t="s">
        <v>76</v>
      </c>
      <c r="D45" s="1" t="s">
        <v>18</v>
      </c>
      <c r="E45" s="1" t="s">
        <v>22</v>
      </c>
      <c r="F45" s="4">
        <v>2031199</v>
      </c>
      <c r="G45" s="4">
        <v>1994250</v>
      </c>
      <c r="H45" s="4">
        <v>38900</v>
      </c>
      <c r="I45" s="4">
        <v>28400</v>
      </c>
      <c r="J45" s="4">
        <v>6600</v>
      </c>
      <c r="K45" s="4">
        <v>781500</v>
      </c>
      <c r="L45" s="4">
        <v>816400</v>
      </c>
      <c r="M45" s="4">
        <f>Tabla1[[#This Row],[BASE DEL DIA]]+Tabla1[[#This Row],[ENTREGAS]]+Tabla1[[#This Row],[TARJETAS]]+Tabla1[[#This Row],[NEQUI O QR]]+Tabla1[[#This Row],[VENTAS FE.CREDITO]]-Tabla1[[#This Row],[VENTAS NETAS]]-Tabla1[[#This Row],[BASE ANTERIOR]]</f>
        <v>2051</v>
      </c>
    </row>
    <row r="46" spans="1:13" ht="13.5" customHeight="1" x14ac:dyDescent="0.2">
      <c r="A46" s="1">
        <v>6657</v>
      </c>
      <c r="B46" s="2">
        <v>45862</v>
      </c>
      <c r="C46" s="3" t="s">
        <v>130</v>
      </c>
      <c r="D46" s="1" t="s">
        <v>18</v>
      </c>
      <c r="E46" s="1" t="s">
        <v>23</v>
      </c>
      <c r="F46" s="4">
        <v>3138200</v>
      </c>
      <c r="G46" s="4">
        <v>2970000</v>
      </c>
      <c r="H46" s="4">
        <v>108200</v>
      </c>
      <c r="I46" s="4">
        <v>116200</v>
      </c>
      <c r="J46" s="4">
        <v>5000</v>
      </c>
      <c r="K46" s="4">
        <v>816400</v>
      </c>
      <c r="L46" s="4">
        <v>876600</v>
      </c>
      <c r="M46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</v>
      </c>
    </row>
    <row r="47" spans="1:13" ht="13.5" customHeight="1" x14ac:dyDescent="0.2">
      <c r="A47" s="1">
        <v>6656</v>
      </c>
      <c r="B47" s="2">
        <v>45862</v>
      </c>
      <c r="C47" s="3" t="s">
        <v>109</v>
      </c>
      <c r="D47" s="1" t="s">
        <v>196</v>
      </c>
      <c r="E47" s="1" t="s">
        <v>22</v>
      </c>
      <c r="F47" s="4">
        <v>2046400</v>
      </c>
      <c r="G47" s="4">
        <v>1862550</v>
      </c>
      <c r="H47" s="4">
        <v>111000</v>
      </c>
      <c r="I47" s="4">
        <v>67700</v>
      </c>
      <c r="K47" s="4">
        <v>876600</v>
      </c>
      <c r="L47" s="4">
        <v>818250</v>
      </c>
      <c r="M47" s="4">
        <f>Tabla1[[#This Row],[BASE DEL DIA]]+Tabla1[[#This Row],[ENTREGAS]]+Tabla1[[#This Row],[TARJETAS]]+Tabla1[[#This Row],[NEQUI O QR]]+Tabla1[[#This Row],[VENTAS FE.CREDITO]]-Tabla1[[#This Row],[VENTAS NETAS]]-Tabla1[[#This Row],[BASE ANTERIOR]]</f>
        <v>53200</v>
      </c>
    </row>
    <row r="48" spans="1:13" ht="13.5" customHeight="1" x14ac:dyDescent="0.2">
      <c r="A48" s="1">
        <v>6655</v>
      </c>
      <c r="B48" s="2">
        <v>45861</v>
      </c>
      <c r="C48" s="3" t="s">
        <v>130</v>
      </c>
      <c r="D48" s="1" t="s">
        <v>196</v>
      </c>
      <c r="E48" s="1" t="s">
        <v>23</v>
      </c>
      <c r="F48" s="4">
        <v>3912100</v>
      </c>
      <c r="G48" s="4">
        <v>3097000</v>
      </c>
      <c r="H48" s="4">
        <v>859600</v>
      </c>
      <c r="I48" s="4">
        <v>19900</v>
      </c>
      <c r="J48" s="4">
        <v>6900</v>
      </c>
      <c r="K48" s="4">
        <v>818250</v>
      </c>
      <c r="L48" s="4">
        <v>889150</v>
      </c>
      <c r="M48" s="4">
        <f>Tabla1[[#This Row],[BASE DEL DIA]]+Tabla1[[#This Row],[ENTREGAS]]+Tabla1[[#This Row],[TARJETAS]]+Tabla1[[#This Row],[NEQUI O QR]]+Tabla1[[#This Row],[VENTAS FE.CREDITO]]-Tabla1[[#This Row],[VENTAS NETAS]]-Tabla1[[#This Row],[BASE ANTERIOR]]</f>
        <v>400</v>
      </c>
    </row>
    <row r="49" spans="1:13" ht="13.5" customHeight="1" x14ac:dyDescent="0.2">
      <c r="A49" s="1">
        <v>6654</v>
      </c>
      <c r="B49" s="2">
        <v>45861</v>
      </c>
      <c r="C49" s="3" t="s">
        <v>112</v>
      </c>
      <c r="D49" s="1" t="s">
        <v>18</v>
      </c>
      <c r="E49" s="1" t="s">
        <v>22</v>
      </c>
      <c r="F49" s="4">
        <v>2204600</v>
      </c>
      <c r="G49" s="4">
        <v>1984000</v>
      </c>
      <c r="H49" s="4">
        <v>114200</v>
      </c>
      <c r="I49" s="4">
        <v>98300</v>
      </c>
      <c r="J49" s="4">
        <v>2500</v>
      </c>
      <c r="K49" s="4">
        <v>889150</v>
      </c>
      <c r="L49" s="4">
        <v>881750</v>
      </c>
      <c r="M49" s="4">
        <f>Tabla1[[#This Row],[BASE DEL DIA]]+Tabla1[[#This Row],[ENTREGAS]]+Tabla1[[#This Row],[TARJETAS]]+Tabla1[[#This Row],[NEQUI O QR]]+Tabla1[[#This Row],[VENTAS FE.CREDITO]]-Tabla1[[#This Row],[VENTAS NETAS]]-Tabla1[[#This Row],[BASE ANTERIOR]]</f>
        <v>1800</v>
      </c>
    </row>
    <row r="50" spans="1:13" ht="13.5" customHeight="1" x14ac:dyDescent="0.2">
      <c r="A50" s="1">
        <v>6653</v>
      </c>
      <c r="B50" s="2">
        <v>45860</v>
      </c>
      <c r="C50" s="3" t="s">
        <v>161</v>
      </c>
      <c r="D50" s="1" t="s">
        <v>18</v>
      </c>
      <c r="E50" s="1" t="s">
        <v>23</v>
      </c>
      <c r="F50" s="4">
        <v>3680100</v>
      </c>
      <c r="G50" s="4">
        <v>3465000</v>
      </c>
      <c r="H50" s="4">
        <v>138900</v>
      </c>
      <c r="I50" s="4">
        <v>83600</v>
      </c>
      <c r="J50" s="4">
        <v>11500</v>
      </c>
      <c r="K50" s="4">
        <v>881750</v>
      </c>
      <c r="L50" s="4">
        <v>900200</v>
      </c>
      <c r="M50" s="4">
        <f>Tabla1[[#This Row],[BASE DEL DIA]]+Tabla1[[#This Row],[ENTREGAS]]+Tabla1[[#This Row],[TARJETAS]]+Tabla1[[#This Row],[NEQUI O QR]]+Tabla1[[#This Row],[VENTAS FE.CREDITO]]-Tabla1[[#This Row],[VENTAS NETAS]]-Tabla1[[#This Row],[BASE ANTERIOR]]</f>
        <v>450</v>
      </c>
    </row>
    <row r="51" spans="1:13" ht="13.5" customHeight="1" x14ac:dyDescent="0.2">
      <c r="A51" s="1">
        <v>6652</v>
      </c>
      <c r="B51" s="2">
        <v>45860</v>
      </c>
      <c r="C51" s="3" t="s">
        <v>152</v>
      </c>
      <c r="D51" s="1" t="s">
        <v>196</v>
      </c>
      <c r="E51" s="1" t="s">
        <v>22</v>
      </c>
      <c r="F51" s="4">
        <v>2730500</v>
      </c>
      <c r="G51" s="4">
        <v>2531650</v>
      </c>
      <c r="H51" s="4">
        <v>64300</v>
      </c>
      <c r="I51" s="4">
        <v>121200</v>
      </c>
      <c r="J51" s="4">
        <v>28600</v>
      </c>
      <c r="K51" s="4">
        <v>900200</v>
      </c>
      <c r="L51" s="4">
        <v>913750</v>
      </c>
      <c r="M51" s="4">
        <f>Tabla1[[#This Row],[BASE DEL DIA]]+Tabla1[[#This Row],[ENTREGAS]]+Tabla1[[#This Row],[TARJETAS]]+Tabla1[[#This Row],[NEQUI O QR]]+Tabla1[[#This Row],[VENTAS FE.CREDITO]]-Tabla1[[#This Row],[VENTAS NETAS]]-Tabla1[[#This Row],[BASE ANTERIOR]]</f>
        <v>1700</v>
      </c>
    </row>
    <row r="52" spans="1:13" ht="13.5" customHeight="1" x14ac:dyDescent="0.2">
      <c r="A52" s="1">
        <v>6651</v>
      </c>
      <c r="B52" s="2">
        <v>45859</v>
      </c>
      <c r="C52" s="3" t="s">
        <v>105</v>
      </c>
      <c r="D52" s="1" t="s">
        <v>18</v>
      </c>
      <c r="E52" s="1" t="s">
        <v>23</v>
      </c>
      <c r="F52" s="4">
        <v>4368100</v>
      </c>
      <c r="G52" s="4">
        <v>3993300</v>
      </c>
      <c r="H52" s="4">
        <v>188900</v>
      </c>
      <c r="I52" s="4">
        <v>63000</v>
      </c>
      <c r="J52" s="4">
        <v>0</v>
      </c>
      <c r="K52" s="4">
        <v>913750</v>
      </c>
      <c r="L52" s="4">
        <v>789950</v>
      </c>
      <c r="M52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53" spans="1:13" ht="13.5" customHeight="1" x14ac:dyDescent="0.2">
      <c r="A53" s="1">
        <v>6651</v>
      </c>
      <c r="B53" s="2">
        <v>45859</v>
      </c>
      <c r="C53" s="3" t="s">
        <v>139</v>
      </c>
      <c r="D53" s="1" t="s">
        <v>18</v>
      </c>
      <c r="E53" s="1" t="s">
        <v>23</v>
      </c>
      <c r="M53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54" spans="1:13" ht="13.5" customHeight="1" x14ac:dyDescent="0.2">
      <c r="A54" s="1">
        <v>6650</v>
      </c>
      <c r="B54" s="2">
        <v>45859</v>
      </c>
      <c r="C54" s="3" t="s">
        <v>53</v>
      </c>
      <c r="D54" s="1" t="s">
        <v>19</v>
      </c>
      <c r="E54" s="1" t="s">
        <v>22</v>
      </c>
      <c r="F54" s="4">
        <v>2293350</v>
      </c>
      <c r="G54" s="4">
        <v>2283100</v>
      </c>
      <c r="H54" s="4">
        <v>10300</v>
      </c>
      <c r="I54" s="4">
        <v>92700</v>
      </c>
      <c r="K54" s="4">
        <v>789950</v>
      </c>
      <c r="L54" s="4">
        <v>875500</v>
      </c>
      <c r="M54" s="4">
        <f>Tabla1[[#This Row],[BASE DEL DIA]]+Tabla1[[#This Row],[ENTREGAS]]+Tabla1[[#This Row],[TARJETAS]]+Tabla1[[#This Row],[NEQUI O QR]]+Tabla1[[#This Row],[VENTAS FE.CREDITO]]-Tabla1[[#This Row],[VENTAS NETAS]]-Tabla1[[#This Row],[BASE ANTERIOR]]</f>
        <v>7200</v>
      </c>
    </row>
    <row r="55" spans="1:13" ht="13.5" customHeight="1" x14ac:dyDescent="0.2">
      <c r="A55" s="1">
        <v>6649</v>
      </c>
      <c r="B55" s="2">
        <v>45858</v>
      </c>
      <c r="C55" s="3" t="s">
        <v>107</v>
      </c>
      <c r="D55" s="1" t="s">
        <v>19</v>
      </c>
      <c r="E55" s="1" t="s">
        <v>23</v>
      </c>
      <c r="F55" s="4">
        <v>3531800</v>
      </c>
      <c r="G55" s="4">
        <v>3149000</v>
      </c>
      <c r="H55" s="4">
        <v>298700</v>
      </c>
      <c r="I55" s="4">
        <v>56900</v>
      </c>
      <c r="J55" s="4">
        <v>13000</v>
      </c>
      <c r="K55" s="4">
        <v>875500</v>
      </c>
      <c r="L55" s="4">
        <v>858800</v>
      </c>
      <c r="M55" s="4">
        <f>Tabla1[[#This Row],[BASE DEL DIA]]+Tabla1[[#This Row],[ENTREGAS]]+Tabla1[[#This Row],[TARJETAS]]+Tabla1[[#This Row],[NEQUI O QR]]+Tabla1[[#This Row],[VENTAS FE.CREDITO]]-Tabla1[[#This Row],[VENTAS NETAS]]-Tabla1[[#This Row],[BASE ANTERIOR]]</f>
        <v>2500</v>
      </c>
    </row>
    <row r="56" spans="1:13" ht="13.5" customHeight="1" x14ac:dyDescent="0.2">
      <c r="A56" s="1">
        <v>6648</v>
      </c>
      <c r="B56" s="2">
        <v>45858</v>
      </c>
      <c r="C56" s="3" t="s">
        <v>137</v>
      </c>
      <c r="D56" s="1" t="s">
        <v>180</v>
      </c>
      <c r="E56" s="1" t="s">
        <v>22</v>
      </c>
      <c r="F56" s="4">
        <v>2778600</v>
      </c>
      <c r="G56" s="4">
        <v>2597000</v>
      </c>
      <c r="H56" s="4">
        <v>129000</v>
      </c>
      <c r="I56" s="4">
        <v>105500</v>
      </c>
      <c r="J56" s="4">
        <v>86200</v>
      </c>
      <c r="K56" s="4">
        <v>858800</v>
      </c>
      <c r="L56" s="4">
        <v>994950</v>
      </c>
      <c r="M56" s="4">
        <f>Tabla1[[#This Row],[BASE DEL DIA]]+Tabla1[[#This Row],[ENTREGAS]]+Tabla1[[#This Row],[TARJETAS]]+Tabla1[[#This Row],[NEQUI O QR]]+Tabla1[[#This Row],[VENTAS FE.CREDITO]]-Tabla1[[#This Row],[VENTAS NETAS]]-Tabla1[[#This Row],[BASE ANTERIOR]]</f>
        <v>2950</v>
      </c>
    </row>
    <row r="57" spans="1:13" ht="13.5" customHeight="1" x14ac:dyDescent="0.2">
      <c r="A57" s="1">
        <v>6647</v>
      </c>
      <c r="B57" s="2">
        <v>45857</v>
      </c>
      <c r="C57" s="3" t="s">
        <v>85</v>
      </c>
      <c r="D57" s="1" t="s">
        <v>180</v>
      </c>
      <c r="E57" s="1" t="s">
        <v>23</v>
      </c>
      <c r="F57" s="4">
        <v>3909600</v>
      </c>
      <c r="G57" s="4">
        <v>3469500</v>
      </c>
      <c r="H57" s="4">
        <v>153300</v>
      </c>
      <c r="I57" s="4">
        <v>114000</v>
      </c>
      <c r="K57" s="4">
        <v>994950</v>
      </c>
      <c r="L57" s="4">
        <v>817950</v>
      </c>
      <c r="M57" s="4">
        <f>Tabla1[[#This Row],[BASE DEL DIA]]+Tabla1[[#This Row],[ENTREGAS]]+Tabla1[[#This Row],[TARJETAS]]+Tabla1[[#This Row],[NEQUI O QR]]+Tabla1[[#This Row],[VENTAS FE.CREDITO]]-Tabla1[[#This Row],[VENTAS NETAS]]-Tabla1[[#This Row],[BASE ANTERIOR]]</f>
        <v>4200</v>
      </c>
    </row>
    <row r="58" spans="1:13" ht="13.5" customHeight="1" x14ac:dyDescent="0.2">
      <c r="A58" s="1">
        <v>6646</v>
      </c>
      <c r="B58" s="2">
        <v>45857</v>
      </c>
      <c r="C58" s="3" t="s">
        <v>49</v>
      </c>
      <c r="D58" s="1" t="s">
        <v>17</v>
      </c>
      <c r="E58" s="1" t="s">
        <v>22</v>
      </c>
      <c r="F58" s="4">
        <v>3279100</v>
      </c>
      <c r="G58" s="4">
        <v>2912550</v>
      </c>
      <c r="H58" s="4">
        <v>109000</v>
      </c>
      <c r="I58" s="4">
        <v>148300</v>
      </c>
      <c r="J58" s="4">
        <v>2000</v>
      </c>
      <c r="K58" s="4">
        <v>817950</v>
      </c>
      <c r="L58" s="4">
        <v>713050</v>
      </c>
      <c r="M58" s="4">
        <f>Tabla1[[#This Row],[BASE DEL DIA]]+Tabla1[[#This Row],[ENTREGAS]]+Tabla1[[#This Row],[TARJETAS]]+Tabla1[[#This Row],[NEQUI O QR]]+Tabla1[[#This Row],[VENTAS FE.CREDITO]]-Tabla1[[#This Row],[VENTAS NETAS]]-Tabla1[[#This Row],[BASE ANTERIOR]]</f>
        <v>-2350</v>
      </c>
    </row>
    <row r="59" spans="1:13" ht="13.5" customHeight="1" x14ac:dyDescent="0.2">
      <c r="A59" s="1">
        <v>6645</v>
      </c>
      <c r="B59" s="2">
        <v>45856</v>
      </c>
      <c r="C59" s="3" t="s">
        <v>105</v>
      </c>
      <c r="D59" s="1" t="s">
        <v>17</v>
      </c>
      <c r="E59" s="1" t="s">
        <v>23</v>
      </c>
      <c r="F59" s="4">
        <v>3828600</v>
      </c>
      <c r="G59" s="4">
        <v>3091000</v>
      </c>
      <c r="H59" s="4">
        <v>595500</v>
      </c>
      <c r="I59" s="4">
        <v>238600</v>
      </c>
      <c r="J59" s="4">
        <v>0</v>
      </c>
      <c r="K59" s="4">
        <v>713050</v>
      </c>
      <c r="L59" s="4">
        <v>809450</v>
      </c>
      <c r="M59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60" spans="1:13" ht="13.5" customHeight="1" x14ac:dyDescent="0.2">
      <c r="A60" s="1">
        <v>6644</v>
      </c>
      <c r="B60" s="2">
        <v>45856</v>
      </c>
      <c r="C60" s="3" t="s">
        <v>65</v>
      </c>
      <c r="D60" s="1" t="s">
        <v>180</v>
      </c>
      <c r="E60" s="1" t="s">
        <v>22</v>
      </c>
      <c r="F60" s="4">
        <v>1918300</v>
      </c>
      <c r="G60" s="4">
        <v>1905700</v>
      </c>
      <c r="H60" s="4">
        <v>55400</v>
      </c>
      <c r="I60" s="4">
        <v>18100</v>
      </c>
      <c r="K60" s="4">
        <v>809450</v>
      </c>
      <c r="L60" s="4">
        <v>867600</v>
      </c>
      <c r="M60" s="4">
        <f>Tabla1[[#This Row],[BASE DEL DIA]]+Tabla1[[#This Row],[ENTREGAS]]+Tabla1[[#This Row],[TARJETAS]]+Tabla1[[#This Row],[NEQUI O QR]]+Tabla1[[#This Row],[VENTAS FE.CREDITO]]-Tabla1[[#This Row],[VENTAS NETAS]]-Tabla1[[#This Row],[BASE ANTERIOR]]</f>
        <v>2750</v>
      </c>
    </row>
    <row r="61" spans="1:13" ht="13.5" customHeight="1" x14ac:dyDescent="0.2">
      <c r="A61" s="1">
        <v>6643</v>
      </c>
      <c r="B61" s="2">
        <v>45855</v>
      </c>
      <c r="C61" s="3" t="s">
        <v>85</v>
      </c>
      <c r="D61" s="1" t="s">
        <v>180</v>
      </c>
      <c r="E61" s="1" t="s">
        <v>23</v>
      </c>
      <c r="F61" s="4">
        <v>3605100</v>
      </c>
      <c r="G61" s="4">
        <v>3126000</v>
      </c>
      <c r="H61" s="4">
        <v>248000</v>
      </c>
      <c r="I61" s="4">
        <v>87200</v>
      </c>
      <c r="J61" s="4">
        <v>52700</v>
      </c>
      <c r="K61" s="4">
        <v>867600</v>
      </c>
      <c r="L61" s="4">
        <v>773350</v>
      </c>
      <c r="M61" s="4">
        <f>Tabla1[[#This Row],[BASE DEL DIA]]+Tabla1[[#This Row],[ENTREGAS]]+Tabla1[[#This Row],[TARJETAS]]+Tabla1[[#This Row],[NEQUI O QR]]+Tabla1[[#This Row],[VENTAS FE.CREDITO]]-Tabla1[[#This Row],[VENTAS NETAS]]-Tabla1[[#This Row],[BASE ANTERIOR]]</f>
        <v>3050</v>
      </c>
    </row>
    <row r="62" spans="1:13" ht="13.5" customHeight="1" x14ac:dyDescent="0.2">
      <c r="A62" s="1">
        <v>6642</v>
      </c>
      <c r="B62" s="2">
        <v>45855</v>
      </c>
      <c r="C62" s="3" t="s">
        <v>162</v>
      </c>
      <c r="D62" s="1" t="s">
        <v>17</v>
      </c>
      <c r="E62" s="1" t="s">
        <v>23</v>
      </c>
      <c r="F62" s="4">
        <v>3777900</v>
      </c>
      <c r="G62" s="4">
        <v>3413900</v>
      </c>
      <c r="H62" s="4">
        <v>342900</v>
      </c>
      <c r="I62" s="4">
        <v>135200</v>
      </c>
      <c r="K62" s="4">
        <v>773350</v>
      </c>
      <c r="L62" s="4">
        <v>885350</v>
      </c>
      <c r="M62" s="4">
        <f>Tabla1[[#This Row],[BASE DEL DIA]]+Tabla1[[#This Row],[ENTREGAS]]+Tabla1[[#This Row],[TARJETAS]]+Tabla1[[#This Row],[NEQUI O QR]]+Tabla1[[#This Row],[VENTAS FE.CREDITO]]-Tabla1[[#This Row],[VENTAS NETAS]]-Tabla1[[#This Row],[BASE ANTERIOR]]</f>
        <v>2100</v>
      </c>
    </row>
    <row r="63" spans="1:13" ht="13.5" customHeight="1" x14ac:dyDescent="0.2">
      <c r="A63" s="1">
        <v>6641</v>
      </c>
      <c r="B63" s="2">
        <v>45854</v>
      </c>
      <c r="C63" s="3" t="s">
        <v>85</v>
      </c>
      <c r="D63" s="1" t="s">
        <v>17</v>
      </c>
      <c r="E63" s="1" t="s">
        <v>23</v>
      </c>
      <c r="F63" s="4">
        <v>5877400</v>
      </c>
      <c r="G63" s="4">
        <v>4986900</v>
      </c>
      <c r="H63" s="4">
        <v>781400</v>
      </c>
      <c r="I63" s="4">
        <v>120700</v>
      </c>
      <c r="J63" s="4">
        <v>0</v>
      </c>
      <c r="K63" s="4">
        <v>885350</v>
      </c>
      <c r="L63" s="4">
        <v>888750</v>
      </c>
      <c r="M63" s="4">
        <f>Tabla1[[#This Row],[BASE DEL DIA]]+Tabla1[[#This Row],[ENTREGAS]]+Tabla1[[#This Row],[TARJETAS]]+Tabla1[[#This Row],[NEQUI O QR]]+Tabla1[[#This Row],[VENTAS FE.CREDITO]]-Tabla1[[#This Row],[VENTAS NETAS]]-Tabla1[[#This Row],[BASE ANTERIOR]]</f>
        <v>8200</v>
      </c>
    </row>
    <row r="64" spans="1:13" ht="13.5" customHeight="1" x14ac:dyDescent="0.2">
      <c r="A64" s="1">
        <v>6640</v>
      </c>
      <c r="B64" s="2">
        <v>45854</v>
      </c>
      <c r="C64" s="3" t="s">
        <v>92</v>
      </c>
      <c r="D64" s="1" t="s">
        <v>180</v>
      </c>
      <c r="E64" s="1" t="s">
        <v>22</v>
      </c>
      <c r="F64" s="4">
        <v>2529900</v>
      </c>
      <c r="G64" s="4">
        <v>2540400</v>
      </c>
      <c r="H64" s="4">
        <v>86300</v>
      </c>
      <c r="K64" s="4">
        <v>888750</v>
      </c>
      <c r="L64" s="4">
        <v>984050</v>
      </c>
      <c r="M64" s="4">
        <f>Tabla1[[#This Row],[BASE DEL DIA]]+Tabla1[[#This Row],[ENTREGAS]]+Tabla1[[#This Row],[TARJETAS]]+Tabla1[[#This Row],[NEQUI O QR]]+Tabla1[[#This Row],[VENTAS FE.CREDITO]]-Tabla1[[#This Row],[VENTAS NETAS]]-Tabla1[[#This Row],[BASE ANTERIOR]]</f>
        <v>1500</v>
      </c>
    </row>
    <row r="65" spans="1:13" ht="13.5" customHeight="1" x14ac:dyDescent="0.2">
      <c r="A65" s="1">
        <v>6639</v>
      </c>
      <c r="B65" s="2">
        <v>45853</v>
      </c>
      <c r="C65" s="3" t="s">
        <v>72</v>
      </c>
      <c r="D65" s="1" t="s">
        <v>180</v>
      </c>
      <c r="E65" s="1" t="s">
        <v>23</v>
      </c>
      <c r="F65" s="4">
        <v>5416100</v>
      </c>
      <c r="G65" s="4">
        <v>4220000</v>
      </c>
      <c r="H65" s="4">
        <v>538000</v>
      </c>
      <c r="I65" s="4">
        <v>490200</v>
      </c>
      <c r="J65" s="4">
        <v>38000</v>
      </c>
      <c r="K65" s="4">
        <v>984050</v>
      </c>
      <c r="L65" s="4">
        <v>849100</v>
      </c>
      <c r="M65" s="4">
        <f>Tabla1[[#This Row],[BASE DEL DIA]]+Tabla1[[#This Row],[ENTREGAS]]+Tabla1[[#This Row],[TARJETAS]]+Tabla1[[#This Row],[NEQUI O QR]]+Tabla1[[#This Row],[VENTAS FE.CREDITO]]-Tabla1[[#This Row],[VENTAS NETAS]]-Tabla1[[#This Row],[BASE ANTERIOR]]</f>
        <v>5050</v>
      </c>
    </row>
    <row r="66" spans="1:13" ht="13.5" customHeight="1" x14ac:dyDescent="0.2">
      <c r="A66" s="1">
        <v>6638</v>
      </c>
      <c r="B66" s="2">
        <v>45853</v>
      </c>
      <c r="C66" s="3" t="s">
        <v>55</v>
      </c>
      <c r="D66" s="1" t="s">
        <v>19</v>
      </c>
      <c r="E66" s="1" t="s">
        <v>22</v>
      </c>
      <c r="F66" s="4">
        <v>1974600</v>
      </c>
      <c r="G66" s="4">
        <v>1732650</v>
      </c>
      <c r="H66" s="4">
        <v>220400</v>
      </c>
      <c r="I66" s="4">
        <v>61500</v>
      </c>
      <c r="J66" s="4">
        <v>6250</v>
      </c>
      <c r="K66" s="4">
        <v>849100</v>
      </c>
      <c r="L66" s="4">
        <v>895300</v>
      </c>
      <c r="M66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67" spans="1:13" ht="13.5" customHeight="1" x14ac:dyDescent="0.2">
      <c r="A67" s="1">
        <v>6637</v>
      </c>
      <c r="B67" s="2">
        <v>45852</v>
      </c>
      <c r="C67" s="3" t="s">
        <v>107</v>
      </c>
      <c r="D67" s="1" t="s">
        <v>17</v>
      </c>
      <c r="E67" s="1" t="s">
        <v>23</v>
      </c>
      <c r="F67" s="4">
        <v>4094800</v>
      </c>
      <c r="G67" s="4">
        <v>3840000</v>
      </c>
      <c r="H67" s="4">
        <v>199300</v>
      </c>
      <c r="I67" s="4">
        <v>28800</v>
      </c>
      <c r="J67" s="4">
        <v>0</v>
      </c>
      <c r="K67" s="4">
        <v>895300</v>
      </c>
      <c r="L67" s="4">
        <v>870100</v>
      </c>
      <c r="M67" s="4">
        <f>Tabla1[[#This Row],[BASE DEL DIA]]+Tabla1[[#This Row],[ENTREGAS]]+Tabla1[[#This Row],[TARJETAS]]+Tabla1[[#This Row],[NEQUI O QR]]+Tabla1[[#This Row],[VENTAS FE.CREDITO]]-Tabla1[[#This Row],[VENTAS NETAS]]-Tabla1[[#This Row],[BASE ANTERIOR]]</f>
        <v>-1500</v>
      </c>
    </row>
    <row r="68" spans="1:13" ht="13.5" customHeight="1" x14ac:dyDescent="0.2">
      <c r="A68" s="1">
        <v>6636</v>
      </c>
      <c r="B68" s="2">
        <v>45852</v>
      </c>
      <c r="C68" s="3" t="s">
        <v>134</v>
      </c>
      <c r="D68" s="1" t="s">
        <v>180</v>
      </c>
      <c r="E68" s="1" t="s">
        <v>22</v>
      </c>
      <c r="F68" s="4">
        <v>1951100</v>
      </c>
      <c r="G68" s="4">
        <v>1976500</v>
      </c>
      <c r="H68" s="4">
        <v>115600</v>
      </c>
      <c r="I68" s="4">
        <v>23700</v>
      </c>
      <c r="K68" s="4">
        <v>870100</v>
      </c>
      <c r="L68" s="4">
        <v>1034300</v>
      </c>
      <c r="M68" s="4">
        <f>Tabla1[[#This Row],[BASE DEL DIA]]+Tabla1[[#This Row],[ENTREGAS]]+Tabla1[[#This Row],[TARJETAS]]+Tabla1[[#This Row],[NEQUI O QR]]+Tabla1[[#This Row],[VENTAS FE.CREDITO]]-Tabla1[[#This Row],[VENTAS NETAS]]-Tabla1[[#This Row],[BASE ANTERIOR]]</f>
        <v>500</v>
      </c>
    </row>
    <row r="69" spans="1:13" ht="13.5" customHeight="1" x14ac:dyDescent="0.2">
      <c r="A69" s="1">
        <v>6635</v>
      </c>
      <c r="B69" s="2">
        <v>45851</v>
      </c>
      <c r="C69" s="3" t="s">
        <v>161</v>
      </c>
      <c r="D69" s="1" t="s">
        <v>16</v>
      </c>
      <c r="E69" s="1" t="s">
        <v>23</v>
      </c>
      <c r="F69" s="4">
        <v>4260700</v>
      </c>
      <c r="G69" s="4">
        <v>3585000</v>
      </c>
      <c r="H69" s="4">
        <v>320500</v>
      </c>
      <c r="I69" s="4">
        <v>171900</v>
      </c>
      <c r="J69" s="4">
        <v>10000</v>
      </c>
      <c r="K69" s="4">
        <v>1034300</v>
      </c>
      <c r="L69" s="4">
        <v>860900</v>
      </c>
      <c r="M69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70" spans="1:13" ht="13.5" customHeight="1" x14ac:dyDescent="0.2">
      <c r="A70" s="1">
        <v>6634</v>
      </c>
      <c r="B70" s="2">
        <v>45851</v>
      </c>
      <c r="C70" s="3" t="s">
        <v>195</v>
      </c>
      <c r="D70" s="1" t="s">
        <v>18</v>
      </c>
      <c r="E70" s="1" t="s">
        <v>22</v>
      </c>
      <c r="F70" s="4">
        <v>3599400</v>
      </c>
      <c r="G70" s="4">
        <v>3112300</v>
      </c>
      <c r="H70" s="4">
        <v>314900</v>
      </c>
      <c r="I70" s="4">
        <v>211000</v>
      </c>
      <c r="J70" s="4">
        <v>5300</v>
      </c>
      <c r="K70" s="4">
        <v>860900</v>
      </c>
      <c r="L70" s="4">
        <v>905000</v>
      </c>
      <c r="M70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71" spans="1:13" ht="13.5" customHeight="1" x14ac:dyDescent="0.2">
      <c r="A71" s="1">
        <v>6633</v>
      </c>
      <c r="B71" s="2">
        <v>45850</v>
      </c>
      <c r="C71" s="3" t="s">
        <v>105</v>
      </c>
      <c r="D71" s="1" t="s">
        <v>18</v>
      </c>
      <c r="E71" s="1" t="s">
        <v>23</v>
      </c>
      <c r="F71" s="4">
        <v>4416550</v>
      </c>
      <c r="G71" s="4">
        <v>4124000</v>
      </c>
      <c r="H71" s="4">
        <v>176900</v>
      </c>
      <c r="I71" s="4">
        <v>56100</v>
      </c>
      <c r="J71" s="4">
        <v>0</v>
      </c>
      <c r="K71" s="4">
        <v>905000</v>
      </c>
      <c r="L71" s="4">
        <v>842800</v>
      </c>
      <c r="M71" s="4">
        <f>Tabla1[[#This Row],[BASE DEL DIA]]+Tabla1[[#This Row],[ENTREGAS]]+Tabla1[[#This Row],[TARJETAS]]+Tabla1[[#This Row],[NEQUI O QR]]+Tabla1[[#This Row],[VENTAS FE.CREDITO]]-Tabla1[[#This Row],[VENTAS NETAS]]-Tabla1[[#This Row],[BASE ANTERIOR]]</f>
        <v>2650</v>
      </c>
    </row>
    <row r="72" spans="1:13" ht="13.5" customHeight="1" x14ac:dyDescent="0.2">
      <c r="A72" s="1">
        <v>6632</v>
      </c>
      <c r="B72" s="2">
        <v>45850</v>
      </c>
      <c r="C72" s="3" t="s">
        <v>137</v>
      </c>
      <c r="D72" s="1" t="s">
        <v>16</v>
      </c>
      <c r="E72" s="1" t="s">
        <v>22</v>
      </c>
      <c r="F72" s="4">
        <v>2763200</v>
      </c>
      <c r="G72" s="4">
        <v>2385000</v>
      </c>
      <c r="H72" s="4">
        <v>220700</v>
      </c>
      <c r="I72" s="4">
        <v>157800</v>
      </c>
      <c r="K72" s="4">
        <v>842800</v>
      </c>
      <c r="L72" s="4">
        <v>840400</v>
      </c>
      <c r="M72" s="4">
        <f>Tabla1[[#This Row],[BASE DEL DIA]]+Tabla1[[#This Row],[ENTREGAS]]+Tabla1[[#This Row],[TARJETAS]]+Tabla1[[#This Row],[NEQUI O QR]]+Tabla1[[#This Row],[VENTAS FE.CREDITO]]-Tabla1[[#This Row],[VENTAS NETAS]]-Tabla1[[#This Row],[BASE ANTERIOR]]</f>
        <v>2700</v>
      </c>
    </row>
    <row r="73" spans="1:13" ht="13.5" customHeight="1" x14ac:dyDescent="0.2">
      <c r="A73" s="1">
        <v>6631</v>
      </c>
      <c r="B73" s="2">
        <v>45849</v>
      </c>
      <c r="C73" s="3" t="s">
        <v>107</v>
      </c>
      <c r="D73" s="1" t="s">
        <v>16</v>
      </c>
      <c r="E73" s="1" t="s">
        <v>23</v>
      </c>
      <c r="F73" s="4">
        <v>3826100</v>
      </c>
      <c r="G73" s="4">
        <v>3310000</v>
      </c>
      <c r="H73" s="4">
        <v>427200</v>
      </c>
      <c r="I73" s="4">
        <v>145900</v>
      </c>
      <c r="J73" s="4">
        <v>0</v>
      </c>
      <c r="K73" s="4">
        <v>840400</v>
      </c>
      <c r="L73" s="4">
        <v>895450</v>
      </c>
      <c r="M73" s="4">
        <f>Tabla1[[#This Row],[BASE DEL DIA]]+Tabla1[[#This Row],[ENTREGAS]]+Tabla1[[#This Row],[TARJETAS]]+Tabla1[[#This Row],[NEQUI O QR]]+Tabla1[[#This Row],[VENTAS FE.CREDITO]]-Tabla1[[#This Row],[VENTAS NETAS]]-Tabla1[[#This Row],[BASE ANTERIOR]]</f>
        <v>1950</v>
      </c>
    </row>
    <row r="74" spans="1:13" ht="13.5" customHeight="1" x14ac:dyDescent="0.2">
      <c r="A74" s="1">
        <v>6630</v>
      </c>
      <c r="B74" s="2">
        <v>45849</v>
      </c>
      <c r="C74" s="3" t="s">
        <v>61</v>
      </c>
      <c r="D74" s="1" t="s">
        <v>18</v>
      </c>
      <c r="E74" s="1" t="s">
        <v>22</v>
      </c>
      <c r="F74" s="4">
        <v>2574300</v>
      </c>
      <c r="G74" s="4">
        <v>1940700</v>
      </c>
      <c r="H74" s="4">
        <v>534100</v>
      </c>
      <c r="I74" s="4">
        <v>75400</v>
      </c>
      <c r="K74" s="4">
        <v>895450</v>
      </c>
      <c r="L74" s="4">
        <v>867950</v>
      </c>
      <c r="M74" s="4">
        <f>Tabla1[[#This Row],[BASE DEL DIA]]+Tabla1[[#This Row],[ENTREGAS]]+Tabla1[[#This Row],[TARJETAS]]+Tabla1[[#This Row],[NEQUI O QR]]+Tabla1[[#This Row],[VENTAS FE.CREDITO]]-Tabla1[[#This Row],[VENTAS NETAS]]-Tabla1[[#This Row],[BASE ANTERIOR]]</f>
        <v>3400</v>
      </c>
    </row>
    <row r="75" spans="1:13" ht="13.5" customHeight="1" x14ac:dyDescent="0.2">
      <c r="A75" s="1">
        <v>6629</v>
      </c>
      <c r="B75" s="2">
        <v>45848</v>
      </c>
      <c r="C75" s="3" t="s">
        <v>160</v>
      </c>
      <c r="D75" s="1" t="s">
        <v>18</v>
      </c>
      <c r="E75" s="1" t="s">
        <v>23</v>
      </c>
      <c r="F75" s="4">
        <v>3265800</v>
      </c>
      <c r="G75" s="4">
        <v>2830000</v>
      </c>
      <c r="H75" s="4">
        <v>258600</v>
      </c>
      <c r="I75" s="4">
        <v>159400</v>
      </c>
      <c r="K75" s="4">
        <v>867950</v>
      </c>
      <c r="L75" s="4">
        <v>852250</v>
      </c>
      <c r="M75" s="4">
        <f>Tabla1[[#This Row],[BASE DEL DIA]]+Tabla1[[#This Row],[ENTREGAS]]+Tabla1[[#This Row],[TARJETAS]]+Tabla1[[#This Row],[NEQUI O QR]]+Tabla1[[#This Row],[VENTAS FE.CREDITO]]-Tabla1[[#This Row],[VENTAS NETAS]]-Tabla1[[#This Row],[BASE ANTERIOR]]</f>
        <v>-2100</v>
      </c>
    </row>
    <row r="76" spans="1:13" ht="13.5" customHeight="1" x14ac:dyDescent="0.2">
      <c r="A76" s="1">
        <v>6628</v>
      </c>
      <c r="B76" s="2">
        <v>45848</v>
      </c>
      <c r="C76" s="3" t="s">
        <v>39</v>
      </c>
      <c r="D76" s="1" t="s">
        <v>16</v>
      </c>
      <c r="E76" s="1" t="s">
        <v>22</v>
      </c>
      <c r="F76" s="4">
        <v>2294700</v>
      </c>
      <c r="G76" s="4">
        <v>2284900</v>
      </c>
      <c r="H76" s="4">
        <v>8500</v>
      </c>
      <c r="I76" s="4">
        <v>49700</v>
      </c>
      <c r="K76" s="4">
        <v>852250</v>
      </c>
      <c r="L76" s="4">
        <v>904050</v>
      </c>
      <c r="M76" s="4">
        <f>Tabla1[[#This Row],[BASE DEL DIA]]+Tabla1[[#This Row],[ENTREGAS]]+Tabla1[[#This Row],[TARJETAS]]+Tabla1[[#This Row],[NEQUI O QR]]+Tabla1[[#This Row],[VENTAS FE.CREDITO]]-Tabla1[[#This Row],[VENTAS NETAS]]-Tabla1[[#This Row],[BASE ANTERIOR]]</f>
        <v>-3400</v>
      </c>
    </row>
    <row r="77" spans="1:13" ht="13.5" customHeight="1" x14ac:dyDescent="0.2">
      <c r="A77" s="1">
        <v>6627</v>
      </c>
      <c r="B77" s="2">
        <v>45847</v>
      </c>
      <c r="C77" s="3" t="s">
        <v>154</v>
      </c>
      <c r="D77" s="1" t="s">
        <v>16</v>
      </c>
      <c r="E77" s="1" t="s">
        <v>23</v>
      </c>
      <c r="F77" s="4">
        <v>4043500</v>
      </c>
      <c r="G77" s="4">
        <v>3567000</v>
      </c>
      <c r="H77" s="4">
        <v>241400</v>
      </c>
      <c r="I77" s="4">
        <v>115600</v>
      </c>
      <c r="J77" s="4">
        <v>35700</v>
      </c>
      <c r="K77" s="4">
        <v>904050</v>
      </c>
      <c r="L77" s="4">
        <v>803800</v>
      </c>
      <c r="M77" s="4">
        <f>Tabla1[[#This Row],[BASE DEL DIA]]+Tabla1[[#This Row],[ENTREGAS]]+Tabla1[[#This Row],[TARJETAS]]+Tabla1[[#This Row],[NEQUI O QR]]+Tabla1[[#This Row],[VENTAS FE.CREDITO]]-Tabla1[[#This Row],[VENTAS NETAS]]-Tabla1[[#This Row],[BASE ANTERIOR]]</f>
        <v>16450</v>
      </c>
    </row>
    <row r="78" spans="1:13" ht="13.5" customHeight="1" x14ac:dyDescent="0.2">
      <c r="A78" s="1">
        <v>6626</v>
      </c>
      <c r="B78" s="2">
        <v>45847</v>
      </c>
      <c r="C78" s="3" t="s">
        <v>108</v>
      </c>
      <c r="D78" s="1" t="s">
        <v>18</v>
      </c>
      <c r="E78" s="1" t="s">
        <v>22</v>
      </c>
      <c r="F78" s="4">
        <v>2179450</v>
      </c>
      <c r="G78" s="4">
        <v>2102700</v>
      </c>
      <c r="H78" s="4">
        <v>76800</v>
      </c>
      <c r="I78" s="4">
        <v>56700</v>
      </c>
      <c r="J78" s="4">
        <v>3300</v>
      </c>
      <c r="K78" s="4">
        <v>803800</v>
      </c>
      <c r="L78" s="4">
        <v>863100</v>
      </c>
      <c r="M78" s="4">
        <f>Tabla1[[#This Row],[BASE DEL DIA]]+Tabla1[[#This Row],[ENTREGAS]]+Tabla1[[#This Row],[TARJETAS]]+Tabla1[[#This Row],[NEQUI O QR]]+Tabla1[[#This Row],[VENTAS FE.CREDITO]]-Tabla1[[#This Row],[VENTAS NETAS]]-Tabla1[[#This Row],[BASE ANTERIOR]]</f>
        <v>750</v>
      </c>
    </row>
    <row r="79" spans="1:13" ht="13.5" customHeight="1" x14ac:dyDescent="0.2">
      <c r="A79" s="1">
        <v>6625</v>
      </c>
      <c r="B79" s="2">
        <v>45846</v>
      </c>
      <c r="C79" s="3" t="s">
        <v>156</v>
      </c>
      <c r="D79" s="1" t="s">
        <v>18</v>
      </c>
      <c r="E79" s="1" t="s">
        <v>23</v>
      </c>
      <c r="F79" s="4">
        <v>3705500</v>
      </c>
      <c r="G79" s="4">
        <v>3360000</v>
      </c>
      <c r="H79" s="4">
        <v>207200</v>
      </c>
      <c r="I79" s="4">
        <v>196800</v>
      </c>
      <c r="J79" s="4">
        <v>0</v>
      </c>
      <c r="K79" s="4">
        <v>863100</v>
      </c>
      <c r="L79" s="4">
        <v>921100</v>
      </c>
      <c r="M79" s="4">
        <f>Tabla1[[#This Row],[BASE DEL DIA]]+Tabla1[[#This Row],[ENTREGAS]]+Tabla1[[#This Row],[TARJETAS]]+Tabla1[[#This Row],[NEQUI O QR]]+Tabla1[[#This Row],[VENTAS FE.CREDITO]]-Tabla1[[#This Row],[VENTAS NETAS]]-Tabla1[[#This Row],[BASE ANTERIOR]]</f>
        <v>500</v>
      </c>
    </row>
    <row r="80" spans="1:13" ht="13.5" customHeight="1" x14ac:dyDescent="0.2">
      <c r="A80" s="1">
        <v>6624</v>
      </c>
      <c r="B80" s="2">
        <v>45846</v>
      </c>
      <c r="C80" s="3" t="s">
        <v>57</v>
      </c>
      <c r="D80" s="1" t="s">
        <v>19</v>
      </c>
      <c r="E80" s="1" t="s">
        <v>22</v>
      </c>
      <c r="F80" s="4">
        <v>1908600</v>
      </c>
      <c r="G80" s="4">
        <v>1761050</v>
      </c>
      <c r="H80" s="4">
        <v>34000</v>
      </c>
      <c r="I80" s="4">
        <v>10400</v>
      </c>
      <c r="J80" s="4">
        <v>2200</v>
      </c>
      <c r="K80" s="4">
        <v>920600</v>
      </c>
      <c r="L80" s="4">
        <v>822500</v>
      </c>
      <c r="M80" s="4">
        <f>Tabla1[[#This Row],[BASE DEL DIA]]+Tabla1[[#This Row],[ENTREGAS]]+Tabla1[[#This Row],[TARJETAS]]+Tabla1[[#This Row],[NEQUI O QR]]+Tabla1[[#This Row],[VENTAS FE.CREDITO]]-Tabla1[[#This Row],[VENTAS NETAS]]-Tabla1[[#This Row],[BASE ANTERIOR]]</f>
        <v>-2850</v>
      </c>
    </row>
    <row r="81" spans="1:13" ht="13.5" customHeight="1" x14ac:dyDescent="0.2">
      <c r="A81" s="1">
        <v>6624</v>
      </c>
      <c r="B81" s="2">
        <v>45845</v>
      </c>
      <c r="C81" s="3" t="s">
        <v>130</v>
      </c>
      <c r="D81" s="1" t="s">
        <v>16</v>
      </c>
      <c r="E81" s="1" t="s">
        <v>23</v>
      </c>
      <c r="F81" s="4">
        <v>4348500</v>
      </c>
      <c r="G81" s="4">
        <v>3870000</v>
      </c>
      <c r="H81" s="4">
        <v>167400</v>
      </c>
      <c r="I81" s="4">
        <v>293800</v>
      </c>
      <c r="J81" s="4">
        <v>6000</v>
      </c>
      <c r="K81" s="4">
        <v>822500</v>
      </c>
      <c r="L81" s="4">
        <v>815300</v>
      </c>
      <c r="M81" s="4">
        <f>Tabla1[[#This Row],[BASE DEL DIA]]+Tabla1[[#This Row],[ENTREGAS]]+Tabla1[[#This Row],[TARJETAS]]+Tabla1[[#This Row],[NEQUI O QR]]+Tabla1[[#This Row],[VENTAS FE.CREDITO]]-Tabla1[[#This Row],[VENTAS NETAS]]-Tabla1[[#This Row],[BASE ANTERIOR]]</f>
        <v>-4100</v>
      </c>
    </row>
    <row r="82" spans="1:13" ht="13.5" customHeight="1" x14ac:dyDescent="0.2">
      <c r="A82" s="1">
        <v>662</v>
      </c>
      <c r="B82" s="2">
        <v>45845</v>
      </c>
      <c r="C82" s="3" t="s">
        <v>47</v>
      </c>
      <c r="D82" s="1" t="s">
        <v>18</v>
      </c>
      <c r="E82" s="1" t="s">
        <v>22</v>
      </c>
      <c r="F82" s="4">
        <v>1993600</v>
      </c>
      <c r="G82" s="4">
        <v>1938600</v>
      </c>
      <c r="H82" s="4">
        <v>51600</v>
      </c>
      <c r="I82" s="4">
        <v>35000</v>
      </c>
      <c r="J82" s="4">
        <v>1500</v>
      </c>
      <c r="K82" s="4">
        <v>815300</v>
      </c>
      <c r="L82" s="4">
        <v>849800</v>
      </c>
      <c r="M82" s="4">
        <f>Tabla1[[#This Row],[BASE DEL DIA]]+Tabla1[[#This Row],[ENTREGAS]]+Tabla1[[#This Row],[TARJETAS]]+Tabla1[[#This Row],[NEQUI O QR]]+Tabla1[[#This Row],[VENTAS FE.CREDITO]]-Tabla1[[#This Row],[VENTAS NETAS]]-Tabla1[[#This Row],[BASE ANTERIOR]]</f>
        <v>-1400</v>
      </c>
    </row>
    <row r="83" spans="1:13" ht="13.5" customHeight="1" x14ac:dyDescent="0.2">
      <c r="A83" s="1">
        <v>6622</v>
      </c>
      <c r="B83" s="2">
        <v>45844</v>
      </c>
      <c r="C83" s="3" t="s">
        <v>105</v>
      </c>
      <c r="D83" s="1" t="s">
        <v>19</v>
      </c>
      <c r="E83" s="1" t="s">
        <v>22</v>
      </c>
      <c r="F83" s="4">
        <v>4703900</v>
      </c>
      <c r="G83" s="4">
        <v>3823400</v>
      </c>
      <c r="H83" s="4">
        <v>777100</v>
      </c>
      <c r="I83" s="4">
        <v>160600</v>
      </c>
      <c r="K83" s="4">
        <v>849800</v>
      </c>
      <c r="L83" s="4">
        <v>901100</v>
      </c>
      <c r="M83" s="4">
        <f>Tabla1[[#This Row],[BASE DEL DIA]]+Tabla1[[#This Row],[ENTREGAS]]+Tabla1[[#This Row],[TARJETAS]]+Tabla1[[#This Row],[NEQUI O QR]]+Tabla1[[#This Row],[VENTAS FE.CREDITO]]-Tabla1[[#This Row],[VENTAS NETAS]]-Tabla1[[#This Row],[BASE ANTERIOR]]</f>
        <v>5900</v>
      </c>
    </row>
    <row r="84" spans="1:13" ht="13.5" customHeight="1" x14ac:dyDescent="0.2">
      <c r="A84" s="1">
        <v>6621</v>
      </c>
      <c r="B84" s="2">
        <v>45844</v>
      </c>
      <c r="C84" s="3" t="s">
        <v>64</v>
      </c>
      <c r="D84" s="1" t="s">
        <v>180</v>
      </c>
      <c r="E84" s="1" t="s">
        <v>22</v>
      </c>
      <c r="F84" s="4">
        <v>3432800</v>
      </c>
      <c r="G84" s="4">
        <v>3165900</v>
      </c>
      <c r="H84" s="4">
        <v>141400</v>
      </c>
      <c r="I84" s="4">
        <v>58000</v>
      </c>
      <c r="J84" s="4">
        <v>28500</v>
      </c>
      <c r="K84" s="4">
        <v>901100</v>
      </c>
      <c r="L84" s="4">
        <v>862900</v>
      </c>
      <c r="M84" s="4">
        <f>Tabla1[[#This Row],[BASE DEL DIA]]+Tabla1[[#This Row],[ENTREGAS]]+Tabla1[[#This Row],[TARJETAS]]+Tabla1[[#This Row],[NEQUI O QR]]+Tabla1[[#This Row],[VENTAS FE.CREDITO]]-Tabla1[[#This Row],[VENTAS NETAS]]-Tabla1[[#This Row],[BASE ANTERIOR]]</f>
        <v>-800</v>
      </c>
    </row>
    <row r="85" spans="1:13" ht="13.5" customHeight="1" x14ac:dyDescent="0.2">
      <c r="A85" s="1">
        <v>6620</v>
      </c>
      <c r="B85" s="2">
        <v>45843</v>
      </c>
      <c r="C85" s="3" t="s">
        <v>107</v>
      </c>
      <c r="D85" s="1" t="s">
        <v>180</v>
      </c>
      <c r="E85" s="1" t="s">
        <v>23</v>
      </c>
      <c r="F85" s="4">
        <v>3803100</v>
      </c>
      <c r="G85" s="4">
        <v>3543000</v>
      </c>
      <c r="H85" s="4">
        <v>168100</v>
      </c>
      <c r="I85" s="4">
        <v>67400</v>
      </c>
      <c r="K85" s="4">
        <v>862900</v>
      </c>
      <c r="L85" s="4">
        <v>835600</v>
      </c>
      <c r="M85" s="4">
        <f>Tabla1[[#This Row],[BASE DEL DIA]]+Tabla1[[#This Row],[ENTREGAS]]+Tabla1[[#This Row],[TARJETAS]]+Tabla1[[#This Row],[NEQUI O QR]]+Tabla1[[#This Row],[VENTAS FE.CREDITO]]-Tabla1[[#This Row],[VENTAS NETAS]]-Tabla1[[#This Row],[BASE ANTERIOR]]</f>
        <v>2700</v>
      </c>
    </row>
    <row r="86" spans="1:13" ht="13.5" customHeight="1" x14ac:dyDescent="0.2">
      <c r="A86" s="1">
        <v>6619</v>
      </c>
      <c r="B86" s="2">
        <v>45843</v>
      </c>
      <c r="C86" s="3" t="s">
        <v>101</v>
      </c>
      <c r="D86" s="1" t="s">
        <v>17</v>
      </c>
      <c r="E86" s="1" t="s">
        <v>22</v>
      </c>
      <c r="F86" s="4">
        <v>3034500</v>
      </c>
      <c r="G86" s="4">
        <v>2727050</v>
      </c>
      <c r="H86" s="4">
        <v>209200</v>
      </c>
      <c r="I86" s="4">
        <v>68100</v>
      </c>
      <c r="J86" s="4">
        <v>12100</v>
      </c>
      <c r="K86" s="4">
        <v>835600</v>
      </c>
      <c r="L86" s="4">
        <v>806200</v>
      </c>
      <c r="M86" s="4">
        <f>Tabla1[[#This Row],[BASE DEL DIA]]+Tabla1[[#This Row],[ENTREGAS]]+Tabla1[[#This Row],[TARJETAS]]+Tabla1[[#This Row],[NEQUI O QR]]+Tabla1[[#This Row],[VENTAS FE.CREDITO]]-Tabla1[[#This Row],[VENTAS NETAS]]-Tabla1[[#This Row],[BASE ANTERIOR]]</f>
        <v>11350</v>
      </c>
    </row>
    <row r="87" spans="1:13" ht="13.5" customHeight="1" x14ac:dyDescent="0.2">
      <c r="A87" s="1">
        <v>6618</v>
      </c>
      <c r="B87" s="2">
        <v>45842</v>
      </c>
      <c r="C87" s="3" t="s">
        <v>130</v>
      </c>
      <c r="D87" s="1" t="s">
        <v>17</v>
      </c>
      <c r="E87" s="1" t="s">
        <v>23</v>
      </c>
      <c r="F87" s="4">
        <v>3027899</v>
      </c>
      <c r="G87" s="4">
        <v>2676600</v>
      </c>
      <c r="H87" s="4">
        <v>259800</v>
      </c>
      <c r="I87" s="4">
        <v>62600</v>
      </c>
      <c r="K87" s="4">
        <v>806200</v>
      </c>
      <c r="L87" s="4">
        <v>776000</v>
      </c>
      <c r="M87" s="4">
        <f>Tabla1[[#This Row],[BASE DEL DIA]]+Tabla1[[#This Row],[ENTREGAS]]+Tabla1[[#This Row],[TARJETAS]]+Tabla1[[#This Row],[NEQUI O QR]]+Tabla1[[#This Row],[VENTAS FE.CREDITO]]-Tabla1[[#This Row],[VENTAS NETAS]]-Tabla1[[#This Row],[BASE ANTERIOR]]</f>
        <v>1301</v>
      </c>
    </row>
    <row r="88" spans="1:13" ht="13.5" customHeight="1" x14ac:dyDescent="0.2">
      <c r="A88" s="1">
        <v>6617</v>
      </c>
      <c r="B88" s="2">
        <v>45842</v>
      </c>
      <c r="C88" s="3" t="s">
        <v>53</v>
      </c>
      <c r="D88" s="1" t="s">
        <v>180</v>
      </c>
      <c r="E88" s="1" t="s">
        <v>23</v>
      </c>
      <c r="F88" s="4">
        <v>2416800</v>
      </c>
      <c r="G88" s="4">
        <v>2437200</v>
      </c>
      <c r="H88" s="4">
        <v>150200</v>
      </c>
      <c r="I88" s="4">
        <v>5500</v>
      </c>
      <c r="K88" s="4">
        <v>776000</v>
      </c>
      <c r="L88" s="4">
        <v>947500</v>
      </c>
      <c r="M88" s="4">
        <f>Tabla1[[#This Row],[BASE DEL DIA]]+Tabla1[[#This Row],[ENTREGAS]]+Tabla1[[#This Row],[TARJETAS]]+Tabla1[[#This Row],[NEQUI O QR]]+Tabla1[[#This Row],[VENTAS FE.CREDITO]]-Tabla1[[#This Row],[VENTAS NETAS]]-Tabla1[[#This Row],[BASE ANTERIOR]]</f>
        <v>4600</v>
      </c>
    </row>
    <row r="89" spans="1:13" ht="13.5" customHeight="1" x14ac:dyDescent="0.2">
      <c r="A89" s="1">
        <v>6616</v>
      </c>
      <c r="B89" s="2">
        <v>45841</v>
      </c>
      <c r="C89" s="3" t="s">
        <v>66</v>
      </c>
      <c r="D89" s="1" t="s">
        <v>180</v>
      </c>
      <c r="E89" s="1" t="s">
        <v>23</v>
      </c>
      <c r="F89" s="4">
        <v>3866400</v>
      </c>
      <c r="G89" s="4">
        <v>3412500</v>
      </c>
      <c r="H89" s="4">
        <v>216000</v>
      </c>
      <c r="I89" s="4">
        <v>139700</v>
      </c>
      <c r="K89" s="4">
        <v>947500</v>
      </c>
      <c r="L89" s="4">
        <v>840800</v>
      </c>
      <c r="M89" s="4">
        <f>Tabla1[[#This Row],[BASE DEL DIA]]+Tabla1[[#This Row],[ENTREGAS]]+Tabla1[[#This Row],[TARJETAS]]+Tabla1[[#This Row],[NEQUI O QR]]+Tabla1[[#This Row],[VENTAS FE.CREDITO]]-Tabla1[[#This Row],[VENTAS NETAS]]-Tabla1[[#This Row],[BASE ANTERIOR]]</f>
        <v>8500</v>
      </c>
    </row>
    <row r="90" spans="1:13" ht="13.5" customHeight="1" x14ac:dyDescent="0.2">
      <c r="A90" s="1">
        <v>6615</v>
      </c>
      <c r="B90" s="2">
        <v>45841</v>
      </c>
      <c r="C90" s="3" t="s">
        <v>59</v>
      </c>
      <c r="D90" s="1" t="s">
        <v>17</v>
      </c>
      <c r="E90" s="1" t="s">
        <v>22</v>
      </c>
      <c r="F90" s="4">
        <v>2141000</v>
      </c>
      <c r="G90" s="4">
        <v>1876750</v>
      </c>
      <c r="H90" s="4">
        <v>214300</v>
      </c>
      <c r="I90" s="4">
        <v>95900</v>
      </c>
      <c r="K90" s="4">
        <v>840800</v>
      </c>
      <c r="L90" s="4">
        <v>887750</v>
      </c>
      <c r="M90" s="4">
        <f>Tabla1[[#This Row],[BASE DEL DIA]]+Tabla1[[#This Row],[ENTREGAS]]+Tabla1[[#This Row],[TARJETAS]]+Tabla1[[#This Row],[NEQUI O QR]]+Tabla1[[#This Row],[VENTAS FE.CREDITO]]-Tabla1[[#This Row],[VENTAS NETAS]]-Tabla1[[#This Row],[BASE ANTERIOR]]</f>
        <v>-1000</v>
      </c>
    </row>
    <row r="91" spans="1:13" ht="13.5" customHeight="1" x14ac:dyDescent="0.2">
      <c r="A91" s="1">
        <v>6614</v>
      </c>
      <c r="B91" s="2">
        <v>45840</v>
      </c>
      <c r="C91" s="3" t="s">
        <v>110</v>
      </c>
      <c r="D91" s="1" t="s">
        <v>17</v>
      </c>
      <c r="E91" s="1" t="s">
        <v>23</v>
      </c>
      <c r="F91" s="4">
        <v>4845600</v>
      </c>
      <c r="G91" s="4">
        <v>3764000</v>
      </c>
      <c r="H91" s="4">
        <v>909900</v>
      </c>
      <c r="I91" s="4">
        <v>81200</v>
      </c>
      <c r="J91" s="4">
        <v>0</v>
      </c>
      <c r="K91" s="4">
        <v>887750</v>
      </c>
      <c r="L91" s="4">
        <v>798300</v>
      </c>
      <c r="M91" s="4">
        <f>Tabla1[[#This Row],[BASE DEL DIA]]+Tabla1[[#This Row],[ENTREGAS]]+Tabla1[[#This Row],[TARJETAS]]+Tabla1[[#This Row],[NEQUI O QR]]+Tabla1[[#This Row],[VENTAS FE.CREDITO]]-Tabla1[[#This Row],[VENTAS NETAS]]-Tabla1[[#This Row],[BASE ANTERIOR]]</f>
        <v>-1050</v>
      </c>
    </row>
    <row r="92" spans="1:13" ht="13.5" customHeight="1" x14ac:dyDescent="0.2">
      <c r="A92" s="1">
        <v>6613</v>
      </c>
      <c r="B92" s="2">
        <v>45840</v>
      </c>
      <c r="C92" s="3" t="s">
        <v>100</v>
      </c>
      <c r="D92" s="1" t="s">
        <v>180</v>
      </c>
      <c r="E92" s="1" t="s">
        <v>22</v>
      </c>
      <c r="F92" s="4">
        <v>2145800</v>
      </c>
      <c r="G92" s="4">
        <v>2129100</v>
      </c>
      <c r="H92" s="4">
        <v>36700</v>
      </c>
      <c r="K92" s="4">
        <v>798300</v>
      </c>
      <c r="L92" s="4">
        <v>879300</v>
      </c>
      <c r="M92" s="4">
        <f>Tabla1[[#This Row],[BASE DEL DIA]]+Tabla1[[#This Row],[ENTREGAS]]+Tabla1[[#This Row],[TARJETAS]]+Tabla1[[#This Row],[NEQUI O QR]]+Tabla1[[#This Row],[VENTAS FE.CREDITO]]-Tabla1[[#This Row],[VENTAS NETAS]]-Tabla1[[#This Row],[BASE ANTERIOR]]</f>
        <v>-61000</v>
      </c>
    </row>
    <row r="93" spans="1:13" ht="13.5" customHeight="1" x14ac:dyDescent="0.2">
      <c r="A93" s="1">
        <v>6612</v>
      </c>
      <c r="B93" s="2">
        <v>45839</v>
      </c>
      <c r="C93" s="3" t="s">
        <v>66</v>
      </c>
      <c r="D93" s="1" t="s">
        <v>180</v>
      </c>
      <c r="E93" s="1" t="s">
        <v>23</v>
      </c>
      <c r="F93" s="4">
        <v>5621700</v>
      </c>
      <c r="G93" s="4">
        <v>4522000</v>
      </c>
      <c r="H93" s="4">
        <v>858800</v>
      </c>
      <c r="I93" s="4">
        <v>240200</v>
      </c>
      <c r="K93" s="4">
        <v>879300</v>
      </c>
      <c r="L93" s="4">
        <v>815300</v>
      </c>
      <c r="M93" s="4">
        <f>Tabla1[[#This Row],[BASE DEL DIA]]+Tabla1[[#This Row],[ENTREGAS]]+Tabla1[[#This Row],[TARJETAS]]+Tabla1[[#This Row],[NEQUI O QR]]+Tabla1[[#This Row],[VENTAS FE.CREDITO]]-Tabla1[[#This Row],[VENTAS NETAS]]-Tabla1[[#This Row],[BASE ANTERIOR]]</f>
        <v>63300</v>
      </c>
    </row>
    <row r="94" spans="1:13" ht="13.5" customHeight="1" x14ac:dyDescent="0.2">
      <c r="A94" s="1">
        <v>6611</v>
      </c>
      <c r="B94" s="2">
        <v>45839</v>
      </c>
      <c r="C94" s="3" t="s">
        <v>57</v>
      </c>
      <c r="D94" s="1" t="s">
        <v>17</v>
      </c>
      <c r="E94" s="1" t="s">
        <v>22</v>
      </c>
      <c r="F94" s="4">
        <v>2952700</v>
      </c>
      <c r="G94" s="4">
        <v>2195600</v>
      </c>
      <c r="H94" s="4">
        <v>759500</v>
      </c>
      <c r="I94" s="4">
        <v>7600</v>
      </c>
      <c r="K94" s="4">
        <v>815300</v>
      </c>
      <c r="L94" s="4">
        <v>825000</v>
      </c>
      <c r="M94" s="4">
        <f>Tabla1[[#This Row],[BASE DEL DIA]]+Tabla1[[#This Row],[ENTREGAS]]+Tabla1[[#This Row],[TARJETAS]]+Tabla1[[#This Row],[NEQUI O QR]]+Tabla1[[#This Row],[VENTAS FE.CREDITO]]-Tabla1[[#This Row],[VENTAS NETAS]]-Tabla1[[#This Row],[BASE ANTERIOR]]</f>
        <v>300</v>
      </c>
    </row>
    <row r="95" spans="1:13" ht="13.5" customHeight="1" x14ac:dyDescent="0.2">
      <c r="A95" s="1">
        <v>6610</v>
      </c>
      <c r="B95" s="2">
        <v>45838</v>
      </c>
      <c r="C95" s="3" t="s">
        <v>156</v>
      </c>
      <c r="D95" s="1" t="s">
        <v>17</v>
      </c>
      <c r="E95" s="1" t="s">
        <v>23</v>
      </c>
      <c r="F95" s="4">
        <v>5409700</v>
      </c>
      <c r="G95" s="4">
        <v>5006900</v>
      </c>
      <c r="H95" s="4">
        <v>246600</v>
      </c>
      <c r="I95" s="4">
        <v>197700</v>
      </c>
      <c r="J95" s="4">
        <v>0</v>
      </c>
      <c r="K95" s="4">
        <v>825000</v>
      </c>
      <c r="L95" s="4">
        <v>864400</v>
      </c>
      <c r="M95" s="4">
        <f>Tabla1[[#This Row],[BASE DEL DIA]]+Tabla1[[#This Row],[ENTREGAS]]+Tabla1[[#This Row],[TARJETAS]]+Tabla1[[#This Row],[NEQUI O QR]]+Tabla1[[#This Row],[VENTAS FE.CREDITO]]-Tabla1[[#This Row],[VENTAS NETAS]]-Tabla1[[#This Row],[BASE ANTERIOR]]</f>
        <v>2100</v>
      </c>
    </row>
    <row r="96" spans="1:13" ht="13.5" customHeight="1" x14ac:dyDescent="0.2">
      <c r="A96" s="1">
        <v>6609</v>
      </c>
      <c r="B96" s="2">
        <v>45838</v>
      </c>
      <c r="C96" s="3" t="s">
        <v>103</v>
      </c>
      <c r="D96" s="1" t="s">
        <v>19</v>
      </c>
      <c r="E96" s="1" t="s">
        <v>22</v>
      </c>
      <c r="F96" s="4">
        <v>4070800</v>
      </c>
      <c r="G96" s="4">
        <v>3502950</v>
      </c>
      <c r="H96" s="4">
        <v>538000</v>
      </c>
      <c r="I96" s="4">
        <v>33900</v>
      </c>
      <c r="K96" s="4">
        <v>864400</v>
      </c>
      <c r="L96" s="4">
        <v>866200</v>
      </c>
      <c r="M96" s="4">
        <f>Tabla1[[#This Row],[BASE DEL DIA]]+Tabla1[[#This Row],[ENTREGAS]]+Tabla1[[#This Row],[TARJETAS]]+Tabla1[[#This Row],[NEQUI O QR]]+Tabla1[[#This Row],[VENTAS FE.CREDITO]]-Tabla1[[#This Row],[VENTAS NETAS]]-Tabla1[[#This Row],[BASE ANTERIOR]]</f>
        <v>2250</v>
      </c>
    </row>
    <row r="97" spans="1:13" ht="13.5" customHeight="1" x14ac:dyDescent="0.2">
      <c r="A97" s="1">
        <v>6608</v>
      </c>
      <c r="B97" s="2">
        <v>45837</v>
      </c>
      <c r="C97" s="3" t="s">
        <v>156</v>
      </c>
      <c r="D97" s="1" t="s">
        <v>17</v>
      </c>
      <c r="E97" s="1" t="s">
        <v>23</v>
      </c>
      <c r="F97" s="4">
        <v>6173600</v>
      </c>
      <c r="G97" s="4">
        <v>5650000</v>
      </c>
      <c r="H97" s="4">
        <v>524300</v>
      </c>
      <c r="I97" s="4">
        <v>98500</v>
      </c>
      <c r="J97" s="4">
        <v>4500</v>
      </c>
      <c r="K97" s="4">
        <v>866200</v>
      </c>
      <c r="L97" s="4">
        <v>966700</v>
      </c>
      <c r="M97" s="4">
        <f>Tabla1[[#This Row],[BASE DEL DIA]]+Tabla1[[#This Row],[ENTREGAS]]+Tabla1[[#This Row],[TARJETAS]]+Tabla1[[#This Row],[NEQUI O QR]]+Tabla1[[#This Row],[VENTAS FE.CREDITO]]-Tabla1[[#This Row],[VENTAS NETAS]]-Tabla1[[#This Row],[BASE ANTERIOR]]</f>
        <v>3200</v>
      </c>
    </row>
    <row r="98" spans="1:13" ht="13.5" customHeight="1" x14ac:dyDescent="0.2">
      <c r="A98" s="1">
        <v>6607</v>
      </c>
      <c r="B98" s="2">
        <v>45837</v>
      </c>
      <c r="C98" s="3" t="s">
        <v>111</v>
      </c>
      <c r="D98" s="1" t="s">
        <v>133</v>
      </c>
      <c r="E98" s="1" t="s">
        <v>22</v>
      </c>
      <c r="F98" s="4">
        <v>4869800</v>
      </c>
      <c r="G98" s="4">
        <v>4310000</v>
      </c>
      <c r="H98" s="4">
        <v>300200</v>
      </c>
      <c r="I98" s="4">
        <v>167400</v>
      </c>
      <c r="J98" s="4">
        <v>70900</v>
      </c>
      <c r="K98" s="4">
        <v>966700</v>
      </c>
      <c r="L98" s="4">
        <v>945300</v>
      </c>
      <c r="M98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99" spans="1:13" ht="13.5" customHeight="1" x14ac:dyDescent="0.2">
      <c r="A99" s="1">
        <v>6606</v>
      </c>
      <c r="B99" s="2">
        <v>45836</v>
      </c>
      <c r="C99" s="3" t="s">
        <v>110</v>
      </c>
      <c r="D99" s="1" t="s">
        <v>18</v>
      </c>
      <c r="E99" s="1" t="s">
        <v>23</v>
      </c>
      <c r="F99" s="4">
        <v>7246500</v>
      </c>
      <c r="G99" s="4">
        <v>6389600</v>
      </c>
      <c r="H99" s="4">
        <v>685900</v>
      </c>
      <c r="I99" s="4">
        <v>72200</v>
      </c>
      <c r="J99" s="4">
        <v>0</v>
      </c>
      <c r="K99" s="4">
        <v>945300</v>
      </c>
      <c r="L99" s="4">
        <v>845500</v>
      </c>
      <c r="M99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</v>
      </c>
    </row>
    <row r="100" spans="1:13" ht="13.5" customHeight="1" x14ac:dyDescent="0.2">
      <c r="A100" s="1">
        <v>6605</v>
      </c>
      <c r="B100" s="2">
        <v>45836</v>
      </c>
      <c r="C100" s="3" t="s">
        <v>162</v>
      </c>
      <c r="D100" s="1" t="s">
        <v>16</v>
      </c>
      <c r="E100" s="1" t="s">
        <v>22</v>
      </c>
      <c r="F100" s="4">
        <v>3953500</v>
      </c>
      <c r="G100" s="4">
        <v>3297800</v>
      </c>
      <c r="H100" s="4">
        <v>700500</v>
      </c>
      <c r="I100" s="4">
        <v>48900</v>
      </c>
      <c r="J100" s="4">
        <v>6400</v>
      </c>
      <c r="K100" s="4">
        <v>845500</v>
      </c>
      <c r="L100" s="4">
        <v>927700</v>
      </c>
      <c r="M100" s="4">
        <f>Tabla1[[#This Row],[BASE DEL DIA]]+Tabla1[[#This Row],[ENTREGAS]]+Tabla1[[#This Row],[TARJETAS]]+Tabla1[[#This Row],[NEQUI O QR]]+Tabla1[[#This Row],[VENTAS FE.CREDITO]]-Tabla1[[#This Row],[VENTAS NETAS]]-Tabla1[[#This Row],[BASE ANTERIOR]]</f>
        <v>17900</v>
      </c>
    </row>
    <row r="101" spans="1:13" ht="13.5" customHeight="1" x14ac:dyDescent="0.2">
      <c r="A101" s="1">
        <v>6604</v>
      </c>
      <c r="B101" s="2">
        <v>45835</v>
      </c>
      <c r="C101" s="3" t="s">
        <v>96</v>
      </c>
      <c r="D101" s="1" t="s">
        <v>16</v>
      </c>
      <c r="E101" s="1" t="s">
        <v>23</v>
      </c>
      <c r="F101" s="4">
        <v>4762350</v>
      </c>
      <c r="G101" s="4">
        <v>3680000</v>
      </c>
      <c r="H101" s="4">
        <v>930700</v>
      </c>
      <c r="I101" s="4">
        <v>50000</v>
      </c>
      <c r="J101" s="4">
        <v>0</v>
      </c>
      <c r="K101" s="4">
        <v>927700</v>
      </c>
      <c r="L101" s="4">
        <v>821500</v>
      </c>
      <c r="M101" s="4">
        <f>Tabla1[[#This Row],[BASE DEL DIA]]+Tabla1[[#This Row],[ENTREGAS]]+Tabla1[[#This Row],[TARJETAS]]+Tabla1[[#This Row],[NEQUI O QR]]+Tabla1[[#This Row],[VENTAS FE.CREDITO]]-Tabla1[[#This Row],[VENTAS NETAS]]-Tabla1[[#This Row],[BASE ANTERIOR]]</f>
        <v>4550</v>
      </c>
    </row>
    <row r="102" spans="1:13" ht="13.5" customHeight="1" x14ac:dyDescent="0.2">
      <c r="A102" s="1">
        <v>6603</v>
      </c>
      <c r="B102" s="2">
        <v>45835</v>
      </c>
      <c r="C102" s="3" t="s">
        <v>74</v>
      </c>
      <c r="D102" s="1" t="s">
        <v>18</v>
      </c>
      <c r="E102" s="1" t="s">
        <v>22</v>
      </c>
      <c r="F102" s="4">
        <v>2340350</v>
      </c>
      <c r="G102" s="4">
        <v>2344000</v>
      </c>
      <c r="H102" s="4">
        <v>29600</v>
      </c>
      <c r="I102" s="4">
        <v>109700</v>
      </c>
      <c r="K102" s="4">
        <v>821500</v>
      </c>
      <c r="L102" s="4">
        <v>962700</v>
      </c>
      <c r="M102" s="4">
        <f>Tabla1[[#This Row],[BASE DEL DIA]]+Tabla1[[#This Row],[ENTREGAS]]+Tabla1[[#This Row],[TARJETAS]]+Tabla1[[#This Row],[NEQUI O QR]]+Tabla1[[#This Row],[VENTAS FE.CREDITO]]-Tabla1[[#This Row],[VENTAS NETAS]]-Tabla1[[#This Row],[BASE ANTERIOR]]</f>
        <v>1750</v>
      </c>
    </row>
    <row r="103" spans="1:13" ht="13.5" customHeight="1" x14ac:dyDescent="0.2">
      <c r="A103" s="1">
        <v>6602</v>
      </c>
      <c r="B103" s="2">
        <v>45834</v>
      </c>
      <c r="C103" s="3" t="s">
        <v>107</v>
      </c>
      <c r="D103" s="1" t="s">
        <v>18</v>
      </c>
      <c r="E103" s="1" t="s">
        <v>23</v>
      </c>
      <c r="F103" s="4">
        <v>3687200</v>
      </c>
      <c r="G103" s="4">
        <v>3201500</v>
      </c>
      <c r="H103" s="4">
        <v>181500</v>
      </c>
      <c r="I103" s="4">
        <v>226800</v>
      </c>
      <c r="J103" s="4">
        <v>0</v>
      </c>
      <c r="K103" s="4">
        <v>962700</v>
      </c>
      <c r="L103" s="4">
        <v>884400</v>
      </c>
      <c r="M103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104" spans="1:13" ht="13.5" customHeight="1" x14ac:dyDescent="0.2">
      <c r="A104" s="1">
        <v>6601</v>
      </c>
      <c r="B104" s="2">
        <v>45834</v>
      </c>
      <c r="C104" s="3" t="s">
        <v>65</v>
      </c>
      <c r="D104" s="1" t="s">
        <v>16</v>
      </c>
      <c r="E104" s="1" t="s">
        <v>22</v>
      </c>
      <c r="F104" s="4">
        <v>2868700</v>
      </c>
      <c r="G104" s="4">
        <v>2442700</v>
      </c>
      <c r="H104" s="4">
        <v>386900</v>
      </c>
      <c r="I104" s="4">
        <v>74600</v>
      </c>
      <c r="K104" s="4">
        <v>884400</v>
      </c>
      <c r="L104" s="4">
        <v>915800</v>
      </c>
      <c r="M104" s="4">
        <f>Tabla1[[#This Row],[BASE DEL DIA]]+Tabla1[[#This Row],[ENTREGAS]]+Tabla1[[#This Row],[TARJETAS]]+Tabla1[[#This Row],[NEQUI O QR]]+Tabla1[[#This Row],[VENTAS FE.CREDITO]]-Tabla1[[#This Row],[VENTAS NETAS]]-Tabla1[[#This Row],[BASE ANTERIOR]]</f>
        <v>4100</v>
      </c>
    </row>
    <row r="105" spans="1:13" ht="13.5" customHeight="1" x14ac:dyDescent="0.2">
      <c r="A105" s="1">
        <v>6600</v>
      </c>
      <c r="B105" s="2">
        <v>45833</v>
      </c>
      <c r="C105" s="3" t="s">
        <v>40</v>
      </c>
      <c r="D105" s="1" t="s">
        <v>16</v>
      </c>
      <c r="E105" s="1" t="s">
        <v>23</v>
      </c>
      <c r="F105" s="4">
        <v>5534900</v>
      </c>
      <c r="G105" s="4">
        <v>4841000</v>
      </c>
      <c r="H105" s="4">
        <v>539100</v>
      </c>
      <c r="I105" s="4">
        <v>56200</v>
      </c>
      <c r="J105" s="4">
        <v>4500</v>
      </c>
      <c r="K105" s="4">
        <v>915800</v>
      </c>
      <c r="L105" s="4">
        <v>828800</v>
      </c>
      <c r="M105" s="4">
        <f>Tabla1[[#This Row],[BASE DEL DIA]]+Tabla1[[#This Row],[ENTREGAS]]+Tabla1[[#This Row],[TARJETAS]]+Tabla1[[#This Row],[NEQUI O QR]]+Tabla1[[#This Row],[VENTAS FE.CREDITO]]-Tabla1[[#This Row],[VENTAS NETAS]]-Tabla1[[#This Row],[BASE ANTERIOR]]</f>
        <v>-7100</v>
      </c>
    </row>
    <row r="106" spans="1:13" ht="13.5" customHeight="1" x14ac:dyDescent="0.2">
      <c r="A106" s="1">
        <v>6599</v>
      </c>
      <c r="B106" s="2">
        <v>45833</v>
      </c>
      <c r="C106" s="3" t="s">
        <v>74</v>
      </c>
      <c r="D106" s="1" t="s">
        <v>18</v>
      </c>
      <c r="E106" s="1" t="s">
        <v>22</v>
      </c>
      <c r="F106" s="4">
        <v>2690200</v>
      </c>
      <c r="G106" s="4">
        <v>2647950</v>
      </c>
      <c r="H106" s="4">
        <v>51400</v>
      </c>
      <c r="I106" s="4">
        <v>38800</v>
      </c>
      <c r="K106" s="4">
        <v>828800</v>
      </c>
      <c r="L106" s="4">
        <v>869900</v>
      </c>
      <c r="M106" s="4">
        <f>Tabla1[[#This Row],[BASE DEL DIA]]+Tabla1[[#This Row],[ENTREGAS]]+Tabla1[[#This Row],[TARJETAS]]+Tabla1[[#This Row],[NEQUI O QR]]+Tabla1[[#This Row],[VENTAS FE.CREDITO]]-Tabla1[[#This Row],[VENTAS NETAS]]-Tabla1[[#This Row],[BASE ANTERIOR]]</f>
        <v>6850</v>
      </c>
    </row>
    <row r="107" spans="1:13" ht="13.5" customHeight="1" x14ac:dyDescent="0.2">
      <c r="A107" s="1">
        <v>6598</v>
      </c>
      <c r="B107" s="2">
        <v>45832</v>
      </c>
      <c r="C107" s="3" t="s">
        <v>85</v>
      </c>
      <c r="D107" s="1" t="s">
        <v>18</v>
      </c>
      <c r="E107" s="1" t="s">
        <v>23</v>
      </c>
      <c r="F107" s="4">
        <v>4872600</v>
      </c>
      <c r="G107" s="4">
        <v>4240500</v>
      </c>
      <c r="H107" s="4">
        <v>448000</v>
      </c>
      <c r="I107" s="4">
        <v>145000</v>
      </c>
      <c r="J107" s="4">
        <v>0</v>
      </c>
      <c r="K107" s="4">
        <v>869900</v>
      </c>
      <c r="L107" s="4">
        <v>829800</v>
      </c>
      <c r="M107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</v>
      </c>
    </row>
    <row r="108" spans="1:13" ht="13.5" customHeight="1" x14ac:dyDescent="0.2">
      <c r="A108" s="1">
        <v>6597</v>
      </c>
      <c r="B108" s="2">
        <v>45832</v>
      </c>
      <c r="C108" s="3" t="s">
        <v>142</v>
      </c>
      <c r="D108" s="1" t="s">
        <v>19</v>
      </c>
      <c r="E108" s="1" t="s">
        <v>22</v>
      </c>
      <c r="F108" s="4">
        <v>1498750</v>
      </c>
      <c r="G108" s="4">
        <v>1600400</v>
      </c>
      <c r="H108" s="4">
        <v>9200</v>
      </c>
      <c r="I108" s="4">
        <v>2600</v>
      </c>
      <c r="K108" s="4">
        <v>829800</v>
      </c>
      <c r="L108" s="4">
        <v>931550</v>
      </c>
      <c r="M108" s="4">
        <f>Tabla1[[#This Row],[BASE DEL DIA]]+Tabla1[[#This Row],[ENTREGAS]]+Tabla1[[#This Row],[TARJETAS]]+Tabla1[[#This Row],[NEQUI O QR]]+Tabla1[[#This Row],[VENTAS FE.CREDITO]]-Tabla1[[#This Row],[VENTAS NETAS]]-Tabla1[[#This Row],[BASE ANTERIOR]]</f>
        <v>11700</v>
      </c>
    </row>
    <row r="109" spans="1:13" ht="13.5" customHeight="1" x14ac:dyDescent="0.2">
      <c r="A109" s="1">
        <v>6596</v>
      </c>
      <c r="B109" s="2">
        <v>45831</v>
      </c>
      <c r="C109" s="3" t="s">
        <v>165</v>
      </c>
      <c r="D109" s="1" t="s">
        <v>16</v>
      </c>
      <c r="E109" s="1" t="s">
        <v>23</v>
      </c>
      <c r="F109" s="4">
        <v>5520900</v>
      </c>
      <c r="G109" s="4">
        <v>4640000</v>
      </c>
      <c r="H109" s="4">
        <v>387200</v>
      </c>
      <c r="I109" s="4">
        <v>391500</v>
      </c>
      <c r="J109" s="4">
        <v>0</v>
      </c>
      <c r="K109" s="4">
        <v>931550</v>
      </c>
      <c r="L109" s="4">
        <v>822100</v>
      </c>
      <c r="M109" s="4">
        <f>Tabla1[[#This Row],[BASE DEL DIA]]+Tabla1[[#This Row],[ENTREGAS]]+Tabla1[[#This Row],[TARJETAS]]+Tabla1[[#This Row],[NEQUI O QR]]+Tabla1[[#This Row],[VENTAS FE.CREDITO]]-Tabla1[[#This Row],[VENTAS NETAS]]-Tabla1[[#This Row],[BASE ANTERIOR]]</f>
        <v>7250</v>
      </c>
    </row>
    <row r="110" spans="1:13" ht="13.5" customHeight="1" x14ac:dyDescent="0.2">
      <c r="A110" s="1">
        <v>6595</v>
      </c>
      <c r="B110" s="2">
        <v>45831</v>
      </c>
      <c r="C110" s="3" t="s">
        <v>132</v>
      </c>
      <c r="D110" s="1" t="s">
        <v>18</v>
      </c>
      <c r="E110" s="1" t="s">
        <v>22</v>
      </c>
      <c r="F110" s="4">
        <v>3471000</v>
      </c>
      <c r="G110" s="4">
        <v>2959700</v>
      </c>
      <c r="H110" s="4">
        <v>490300</v>
      </c>
      <c r="I110" s="4">
        <v>62300</v>
      </c>
      <c r="K110" s="4">
        <v>822100</v>
      </c>
      <c r="L110" s="4">
        <v>863700</v>
      </c>
      <c r="M110" s="4">
        <f>Tabla1[[#This Row],[BASE DEL DIA]]+Tabla1[[#This Row],[ENTREGAS]]+Tabla1[[#This Row],[TARJETAS]]+Tabla1[[#This Row],[NEQUI O QR]]+Tabla1[[#This Row],[VENTAS FE.CREDITO]]-Tabla1[[#This Row],[VENTAS NETAS]]-Tabla1[[#This Row],[BASE ANTERIOR]]</f>
        <v>-300</v>
      </c>
    </row>
    <row r="111" spans="1:13" ht="13.5" customHeight="1" x14ac:dyDescent="0.2">
      <c r="A111" s="1">
        <v>6594</v>
      </c>
      <c r="B111" s="2">
        <v>45830</v>
      </c>
      <c r="C111" s="3" t="s">
        <v>161</v>
      </c>
      <c r="D111" s="1" t="s">
        <v>19</v>
      </c>
      <c r="E111" s="1" t="s">
        <v>23</v>
      </c>
      <c r="F111" s="4">
        <v>3828500</v>
      </c>
      <c r="G111" s="4">
        <v>3450000</v>
      </c>
      <c r="H111" s="4">
        <v>218100</v>
      </c>
      <c r="I111" s="4">
        <v>107200</v>
      </c>
      <c r="K111" s="4">
        <v>863700</v>
      </c>
      <c r="L111" s="4">
        <v>806700</v>
      </c>
      <c r="M111" s="4">
        <f>Tabla1[[#This Row],[BASE DEL DIA]]+Tabla1[[#This Row],[ENTREGAS]]+Tabla1[[#This Row],[TARJETAS]]+Tabla1[[#This Row],[NEQUI O QR]]+Tabla1[[#This Row],[VENTAS FE.CREDITO]]-Tabla1[[#This Row],[VENTAS NETAS]]-Tabla1[[#This Row],[BASE ANTERIOR]]</f>
        <v>3800</v>
      </c>
    </row>
    <row r="112" spans="1:13" ht="13.5" customHeight="1" x14ac:dyDescent="0.2">
      <c r="A112" s="1">
        <v>6593</v>
      </c>
      <c r="B112" s="2">
        <v>45830</v>
      </c>
      <c r="C112" s="3" t="s">
        <v>92</v>
      </c>
      <c r="D112" s="1" t="s">
        <v>180</v>
      </c>
      <c r="E112" s="1" t="s">
        <v>23</v>
      </c>
      <c r="F112" s="4">
        <v>3509100</v>
      </c>
      <c r="G112" s="4">
        <v>3180000</v>
      </c>
      <c r="H112" s="4">
        <v>271200</v>
      </c>
      <c r="I112" s="4">
        <v>122700</v>
      </c>
      <c r="K112" s="4">
        <v>806700</v>
      </c>
      <c r="L112" s="4">
        <v>866100</v>
      </c>
      <c r="M112" s="4">
        <f>Tabla1[[#This Row],[BASE DEL DIA]]+Tabla1[[#This Row],[ENTREGAS]]+Tabla1[[#This Row],[TARJETAS]]+Tabla1[[#This Row],[NEQUI O QR]]+Tabla1[[#This Row],[VENTAS FE.CREDITO]]-Tabla1[[#This Row],[VENTAS NETAS]]-Tabla1[[#This Row],[BASE ANTERIOR]]</f>
        <v>5400</v>
      </c>
    </row>
    <row r="113" spans="1:13" ht="13.5" customHeight="1" x14ac:dyDescent="0.2">
      <c r="A113" s="1">
        <v>6592</v>
      </c>
      <c r="B113" s="2">
        <v>45829</v>
      </c>
      <c r="C113" s="3" t="s">
        <v>73</v>
      </c>
      <c r="D113" s="1" t="s">
        <v>180</v>
      </c>
      <c r="E113" s="1" t="s">
        <v>23</v>
      </c>
      <c r="F113" s="4">
        <v>4655500</v>
      </c>
      <c r="G113" s="4">
        <v>4330000</v>
      </c>
      <c r="H113" s="4">
        <v>129400</v>
      </c>
      <c r="I113" s="4">
        <v>107900</v>
      </c>
      <c r="J113" s="4">
        <v>0</v>
      </c>
      <c r="K113" s="4">
        <v>866900</v>
      </c>
      <c r="L113" s="4">
        <v>873100</v>
      </c>
      <c r="M113" s="4">
        <f>Tabla1[[#This Row],[BASE DEL DIA]]+Tabla1[[#This Row],[ENTREGAS]]+Tabla1[[#This Row],[TARJETAS]]+Tabla1[[#This Row],[NEQUI O QR]]+Tabla1[[#This Row],[VENTAS FE.CREDITO]]-Tabla1[[#This Row],[VENTAS NETAS]]-Tabla1[[#This Row],[BASE ANTERIOR]]</f>
        <v>-94400</v>
      </c>
    </row>
    <row r="114" spans="1:13" ht="13.5" customHeight="1" x14ac:dyDescent="0.2">
      <c r="A114" s="1">
        <v>6591</v>
      </c>
      <c r="B114" s="2">
        <v>45829</v>
      </c>
      <c r="C114" s="3" t="s">
        <v>59</v>
      </c>
      <c r="D114" s="1" t="s">
        <v>17</v>
      </c>
      <c r="E114" s="1" t="s">
        <v>22</v>
      </c>
      <c r="F114" s="4">
        <v>3053900</v>
      </c>
      <c r="G114" s="4">
        <v>2619100</v>
      </c>
      <c r="H114" s="4">
        <v>237900</v>
      </c>
      <c r="I114" s="4">
        <v>225700</v>
      </c>
      <c r="K114" s="4">
        <v>873100</v>
      </c>
      <c r="L114" s="4">
        <v>891100</v>
      </c>
      <c r="M114" s="4">
        <f>Tabla1[[#This Row],[BASE DEL DIA]]+Tabla1[[#This Row],[ENTREGAS]]+Tabla1[[#This Row],[TARJETAS]]+Tabla1[[#This Row],[NEQUI O QR]]+Tabla1[[#This Row],[VENTAS FE.CREDITO]]-Tabla1[[#This Row],[VENTAS NETAS]]-Tabla1[[#This Row],[BASE ANTERIOR]]</f>
        <v>10800</v>
      </c>
    </row>
    <row r="115" spans="1:13" ht="13.5" customHeight="1" x14ac:dyDescent="0.2">
      <c r="A115" s="1">
        <v>6590</v>
      </c>
      <c r="B115" s="2">
        <v>45828</v>
      </c>
      <c r="C115" s="3" t="s">
        <v>96</v>
      </c>
      <c r="D115" s="1" t="s">
        <v>17</v>
      </c>
      <c r="E115" s="1" t="s">
        <v>23</v>
      </c>
      <c r="F115" s="4">
        <v>4816900</v>
      </c>
      <c r="G115" s="4">
        <v>4246000</v>
      </c>
      <c r="H115" s="4">
        <v>431900</v>
      </c>
      <c r="I115" s="4">
        <v>22000</v>
      </c>
      <c r="J115" s="4">
        <v>87800</v>
      </c>
      <c r="K115" s="4">
        <v>891100</v>
      </c>
      <c r="L115" s="4">
        <v>865300</v>
      </c>
      <c r="M115" s="4">
        <f>Tabla1[[#This Row],[BASE DEL DIA]]+Tabla1[[#This Row],[ENTREGAS]]+Tabla1[[#This Row],[TARJETAS]]+Tabla1[[#This Row],[NEQUI O QR]]+Tabla1[[#This Row],[VENTAS FE.CREDITO]]-Tabla1[[#This Row],[VENTAS NETAS]]-Tabla1[[#This Row],[BASE ANTERIOR]]</f>
        <v>-3400</v>
      </c>
    </row>
    <row r="116" spans="1:13" ht="13.5" customHeight="1" x14ac:dyDescent="0.2">
      <c r="A116" s="1">
        <v>6589</v>
      </c>
      <c r="B116" s="2">
        <v>45828</v>
      </c>
      <c r="C116" s="3" t="s">
        <v>75</v>
      </c>
      <c r="D116" s="1" t="s">
        <v>180</v>
      </c>
      <c r="E116" s="1" t="s">
        <v>22</v>
      </c>
      <c r="F116" s="4">
        <v>2262700</v>
      </c>
      <c r="G116" s="4">
        <v>2213000</v>
      </c>
      <c r="H116" s="4">
        <v>94900</v>
      </c>
      <c r="I116" s="4">
        <v>15100</v>
      </c>
      <c r="K116" s="4">
        <v>865300</v>
      </c>
      <c r="L116" s="4">
        <v>922150</v>
      </c>
      <c r="M116" s="4">
        <f>Tabla1[[#This Row],[BASE DEL DIA]]+Tabla1[[#This Row],[ENTREGAS]]+Tabla1[[#This Row],[TARJETAS]]+Tabla1[[#This Row],[NEQUI O QR]]+Tabla1[[#This Row],[VENTAS FE.CREDITO]]-Tabla1[[#This Row],[VENTAS NETAS]]-Tabla1[[#This Row],[BASE ANTERIOR]]</f>
        <v>3450</v>
      </c>
    </row>
    <row r="117" spans="1:13" ht="13.5" customHeight="1" x14ac:dyDescent="0.2">
      <c r="A117" s="1">
        <v>6588</v>
      </c>
      <c r="B117" s="2">
        <v>45827</v>
      </c>
      <c r="C117" s="3" t="s">
        <v>110</v>
      </c>
      <c r="D117" s="1" t="s">
        <v>180</v>
      </c>
      <c r="E117" s="1" t="s">
        <v>23</v>
      </c>
      <c r="F117" s="4">
        <v>4474500</v>
      </c>
      <c r="G117" s="4">
        <v>3530000</v>
      </c>
      <c r="H117" s="4">
        <v>548300</v>
      </c>
      <c r="I117" s="4">
        <v>144500</v>
      </c>
      <c r="J117" s="4">
        <v>214200</v>
      </c>
      <c r="K117" s="4">
        <v>922150</v>
      </c>
      <c r="L117" s="4">
        <v>879950</v>
      </c>
      <c r="M117" s="4">
        <f>Tabla1[[#This Row],[BASE DEL DIA]]+Tabla1[[#This Row],[ENTREGAS]]+Tabla1[[#This Row],[TARJETAS]]+Tabla1[[#This Row],[NEQUI O QR]]+Tabla1[[#This Row],[VENTAS FE.CREDITO]]-Tabla1[[#This Row],[VENTAS NETAS]]-Tabla1[[#This Row],[BASE ANTERIOR]]</f>
        <v>4700</v>
      </c>
    </row>
    <row r="118" spans="1:13" ht="13.5" customHeight="1" x14ac:dyDescent="0.2">
      <c r="A118" s="1">
        <v>6587</v>
      </c>
      <c r="B118" s="2">
        <v>45827</v>
      </c>
      <c r="C118" s="3" t="s">
        <v>86</v>
      </c>
      <c r="D118" s="1" t="s">
        <v>17</v>
      </c>
      <c r="E118" s="1" t="s">
        <v>22</v>
      </c>
      <c r="F118" s="4">
        <v>3089250</v>
      </c>
      <c r="G118" s="4">
        <v>2811350</v>
      </c>
      <c r="H118" s="4">
        <v>59300</v>
      </c>
      <c r="I118" s="4">
        <v>118200</v>
      </c>
      <c r="K118" s="4">
        <v>879950</v>
      </c>
      <c r="L118" s="4">
        <v>777850</v>
      </c>
      <c r="M118" s="4">
        <f>Tabla1[[#This Row],[BASE DEL DIA]]+Tabla1[[#This Row],[ENTREGAS]]+Tabla1[[#This Row],[TARJETAS]]+Tabla1[[#This Row],[NEQUI O QR]]+Tabla1[[#This Row],[VENTAS FE.CREDITO]]-Tabla1[[#This Row],[VENTAS NETAS]]-Tabla1[[#This Row],[BASE ANTERIOR]]</f>
        <v>1700</v>
      </c>
    </row>
    <row r="119" spans="1:13" ht="13.5" customHeight="1" x14ac:dyDescent="0.2">
      <c r="A119" s="1">
        <v>6586</v>
      </c>
      <c r="B119" s="2">
        <v>45826</v>
      </c>
      <c r="C119" s="3" t="s">
        <v>40</v>
      </c>
      <c r="D119" s="1" t="s">
        <v>17</v>
      </c>
      <c r="E119" s="1" t="s">
        <v>23</v>
      </c>
      <c r="F119" s="4">
        <v>5461400</v>
      </c>
      <c r="G119" s="4">
        <v>5004907</v>
      </c>
      <c r="H119" s="4">
        <v>145000</v>
      </c>
      <c r="I119" s="4">
        <v>263500</v>
      </c>
      <c r="J119" s="4">
        <v>0</v>
      </c>
      <c r="K119" s="4">
        <v>777850</v>
      </c>
      <c r="L119" s="4">
        <v>749800</v>
      </c>
      <c r="M119" s="4">
        <f>Tabla1[[#This Row],[BASE DEL DIA]]+Tabla1[[#This Row],[ENTREGAS]]+Tabla1[[#This Row],[TARJETAS]]+Tabla1[[#This Row],[NEQUI O QR]]+Tabla1[[#This Row],[VENTAS FE.CREDITO]]-Tabla1[[#This Row],[VENTAS NETAS]]-Tabla1[[#This Row],[BASE ANTERIOR]]</f>
        <v>-19943</v>
      </c>
    </row>
    <row r="120" spans="1:13" ht="13.5" customHeight="1" x14ac:dyDescent="0.2">
      <c r="A120" s="1">
        <v>6585</v>
      </c>
      <c r="B120" s="2">
        <v>45826</v>
      </c>
      <c r="C120" s="3" t="s">
        <v>68</v>
      </c>
      <c r="D120" s="1" t="s">
        <v>180</v>
      </c>
      <c r="E120" s="1" t="s">
        <v>22</v>
      </c>
      <c r="F120" s="4">
        <v>2225600</v>
      </c>
      <c r="G120" s="4">
        <v>2024200</v>
      </c>
      <c r="H120" s="4">
        <v>171500</v>
      </c>
      <c r="I120" s="4">
        <v>226500</v>
      </c>
      <c r="K120" s="4">
        <v>749800</v>
      </c>
      <c r="L120" s="4">
        <v>943300</v>
      </c>
      <c r="M120" s="4">
        <f>Tabla1[[#This Row],[BASE DEL DIA]]+Tabla1[[#This Row],[ENTREGAS]]+Tabla1[[#This Row],[TARJETAS]]+Tabla1[[#This Row],[NEQUI O QR]]+Tabla1[[#This Row],[VENTAS FE.CREDITO]]-Tabla1[[#This Row],[VENTAS NETAS]]-Tabla1[[#This Row],[BASE ANTERIOR]]</f>
        <v>3100</v>
      </c>
    </row>
    <row r="121" spans="1:13" ht="13.5" customHeight="1" x14ac:dyDescent="0.2">
      <c r="A121" s="1">
        <v>6584</v>
      </c>
      <c r="B121" s="2">
        <v>45825</v>
      </c>
      <c r="C121" s="3" t="s">
        <v>66</v>
      </c>
      <c r="D121" s="1" t="s">
        <v>180</v>
      </c>
      <c r="E121" s="1" t="s">
        <v>23</v>
      </c>
      <c r="F121" s="4">
        <v>6731700</v>
      </c>
      <c r="G121" s="4">
        <v>6020000</v>
      </c>
      <c r="H121" s="4">
        <v>268200</v>
      </c>
      <c r="I121" s="4">
        <v>355600</v>
      </c>
      <c r="K121" s="4">
        <v>943300</v>
      </c>
      <c r="L121" s="4">
        <v>848000</v>
      </c>
      <c r="M121" s="4">
        <f>Tabla1[[#This Row],[BASE DEL DIA]]+Tabla1[[#This Row],[ENTREGAS]]+Tabla1[[#This Row],[TARJETAS]]+Tabla1[[#This Row],[NEQUI O QR]]+Tabla1[[#This Row],[VENTAS FE.CREDITO]]-Tabla1[[#This Row],[VENTAS NETAS]]-Tabla1[[#This Row],[BASE ANTERIOR]]</f>
        <v>7400</v>
      </c>
    </row>
    <row r="122" spans="1:13" ht="13.5" customHeight="1" x14ac:dyDescent="0.2">
      <c r="A122" s="1">
        <v>6583</v>
      </c>
      <c r="B122" s="2">
        <v>45825</v>
      </c>
      <c r="C122" s="3" t="s">
        <v>186</v>
      </c>
      <c r="D122" s="1" t="s">
        <v>17</v>
      </c>
      <c r="E122" s="1" t="s">
        <v>23</v>
      </c>
      <c r="F122" s="4">
        <v>3048800</v>
      </c>
      <c r="G122" s="4">
        <v>3001600</v>
      </c>
      <c r="H122" s="4">
        <v>83800</v>
      </c>
      <c r="I122" s="4">
        <v>78300</v>
      </c>
      <c r="K122" s="4">
        <v>848000</v>
      </c>
      <c r="L122" s="4">
        <v>963900</v>
      </c>
      <c r="M122" s="4">
        <f>Tabla1[[#This Row],[BASE DEL DIA]]+Tabla1[[#This Row],[ENTREGAS]]+Tabla1[[#This Row],[TARJETAS]]+Tabla1[[#This Row],[NEQUI O QR]]+Tabla1[[#This Row],[VENTAS FE.CREDITO]]-Tabla1[[#This Row],[VENTAS NETAS]]-Tabla1[[#This Row],[BASE ANTERIOR]]</f>
        <v>-1000</v>
      </c>
    </row>
    <row r="123" spans="1:13" ht="13.5" customHeight="1" x14ac:dyDescent="0.2">
      <c r="A123" s="1">
        <v>6582</v>
      </c>
      <c r="B123" s="2">
        <v>45824</v>
      </c>
      <c r="C123" s="3" t="s">
        <v>85</v>
      </c>
      <c r="D123" s="1" t="s">
        <v>17</v>
      </c>
      <c r="E123" s="1" t="s">
        <v>23</v>
      </c>
      <c r="F123" s="4">
        <v>6171200</v>
      </c>
      <c r="G123" s="4">
        <v>5302950</v>
      </c>
      <c r="H123" s="4">
        <v>309600</v>
      </c>
      <c r="I123" s="4">
        <v>301400</v>
      </c>
      <c r="J123" s="4">
        <v>171900</v>
      </c>
      <c r="K123" s="4">
        <v>963900</v>
      </c>
      <c r="L123" s="4">
        <v>880350</v>
      </c>
      <c r="M123" s="4">
        <f>Tabla1[[#This Row],[BASE DEL DIA]]+Tabla1[[#This Row],[ENTREGAS]]+Tabla1[[#This Row],[TARJETAS]]+Tabla1[[#This Row],[NEQUI O QR]]+Tabla1[[#This Row],[VENTAS FE.CREDITO]]-Tabla1[[#This Row],[VENTAS NETAS]]-Tabla1[[#This Row],[BASE ANTERIOR]]</f>
        <v>-1800</v>
      </c>
    </row>
    <row r="124" spans="1:13" ht="13.5" customHeight="1" x14ac:dyDescent="0.2">
      <c r="A124" s="1">
        <v>6181</v>
      </c>
      <c r="B124" s="2">
        <v>45824</v>
      </c>
      <c r="C124" s="3" t="s">
        <v>76</v>
      </c>
      <c r="D124" s="1" t="s">
        <v>18</v>
      </c>
      <c r="E124" s="1" t="s">
        <v>22</v>
      </c>
      <c r="F124" s="4">
        <v>3026000</v>
      </c>
      <c r="G124" s="4">
        <v>2912000</v>
      </c>
      <c r="H124" s="4">
        <v>34900</v>
      </c>
      <c r="I124" s="4">
        <v>218300</v>
      </c>
      <c r="J124" s="4">
        <v>2600</v>
      </c>
      <c r="K124" s="4">
        <v>880350</v>
      </c>
      <c r="L124" s="4">
        <v>1011800</v>
      </c>
      <c r="M124" s="4">
        <f>Tabla1[[#This Row],[BASE DEL DIA]]+Tabla1[[#This Row],[ENTREGAS]]+Tabla1[[#This Row],[TARJETAS]]+Tabla1[[#This Row],[NEQUI O QR]]+Tabla1[[#This Row],[VENTAS FE.CREDITO]]-Tabla1[[#This Row],[VENTAS NETAS]]-Tabla1[[#This Row],[BASE ANTERIOR]]</f>
        <v>10350</v>
      </c>
    </row>
    <row r="125" spans="1:13" ht="13.5" customHeight="1" x14ac:dyDescent="0.2">
      <c r="A125" s="1">
        <v>6580</v>
      </c>
      <c r="B125" s="2">
        <v>45823</v>
      </c>
      <c r="C125" s="3" t="s">
        <v>158</v>
      </c>
      <c r="D125" s="1" t="s">
        <v>18</v>
      </c>
      <c r="E125" s="1" t="s">
        <v>24</v>
      </c>
      <c r="F125" s="4">
        <v>11888350</v>
      </c>
      <c r="G125" s="4">
        <v>10694300</v>
      </c>
      <c r="H125" s="4">
        <v>1009400</v>
      </c>
      <c r="I125" s="4">
        <v>168700</v>
      </c>
      <c r="J125" s="4">
        <v>21700</v>
      </c>
      <c r="K125" s="4">
        <v>1011800</v>
      </c>
      <c r="L125" s="4">
        <v>968850</v>
      </c>
      <c r="M125" s="4">
        <f>Tabla1[[#This Row],[BASE DEL DIA]]+Tabla1[[#This Row],[ENTREGAS]]+Tabla1[[#This Row],[TARJETAS]]+Tabla1[[#This Row],[NEQUI O QR]]+Tabla1[[#This Row],[VENTAS FE.CREDITO]]-Tabla1[[#This Row],[VENTAS NETAS]]-Tabla1[[#This Row],[BASE ANTERIOR]]</f>
        <v>48700</v>
      </c>
    </row>
    <row r="126" spans="1:13" ht="13.5" customHeight="1" x14ac:dyDescent="0.2">
      <c r="A126" s="1">
        <v>6579</v>
      </c>
      <c r="B126" s="2">
        <v>45822</v>
      </c>
      <c r="C126" s="3" t="s">
        <v>107</v>
      </c>
      <c r="D126" s="1" t="s">
        <v>18</v>
      </c>
      <c r="E126" s="1" t="s">
        <v>23</v>
      </c>
      <c r="F126" s="4">
        <v>6020400</v>
      </c>
      <c r="G126" s="4">
        <v>5457400</v>
      </c>
      <c r="H126" s="4">
        <v>345700</v>
      </c>
      <c r="I126" s="4">
        <v>135400</v>
      </c>
      <c r="J126" s="4">
        <v>2000</v>
      </c>
      <c r="K126" s="4">
        <v>968850</v>
      </c>
      <c r="L126" s="4">
        <v>885700</v>
      </c>
      <c r="M126" s="4">
        <f>Tabla1[[#This Row],[BASE DEL DIA]]+Tabla1[[#This Row],[ENTREGAS]]+Tabla1[[#This Row],[TARJETAS]]+Tabla1[[#This Row],[NEQUI O QR]]+Tabla1[[#This Row],[VENTAS FE.CREDITO]]-Tabla1[[#This Row],[VENTAS NETAS]]-Tabla1[[#This Row],[BASE ANTERIOR]]</f>
        <v>3250</v>
      </c>
    </row>
    <row r="127" spans="1:13" ht="13.5" customHeight="1" x14ac:dyDescent="0.2">
      <c r="A127" s="1">
        <v>6578</v>
      </c>
      <c r="B127" s="2">
        <v>45822</v>
      </c>
      <c r="C127" s="3" t="s">
        <v>128</v>
      </c>
      <c r="D127" s="1" t="s">
        <v>16</v>
      </c>
      <c r="E127" s="1" t="s">
        <v>22</v>
      </c>
      <c r="F127" s="4">
        <v>3966100</v>
      </c>
      <c r="G127" s="4">
        <v>3700500</v>
      </c>
      <c r="H127" s="4">
        <v>283300</v>
      </c>
      <c r="I127" s="4">
        <v>123000</v>
      </c>
      <c r="J127" s="4">
        <v>11400</v>
      </c>
      <c r="K127" s="4">
        <v>885700</v>
      </c>
      <c r="L127" s="4">
        <v>1035200</v>
      </c>
      <c r="M127" s="4">
        <f>Tabla1[[#This Row],[BASE DEL DIA]]+Tabla1[[#This Row],[ENTREGAS]]+Tabla1[[#This Row],[TARJETAS]]+Tabla1[[#This Row],[NEQUI O QR]]+Tabla1[[#This Row],[VENTAS FE.CREDITO]]-Tabla1[[#This Row],[VENTAS NETAS]]-Tabla1[[#This Row],[BASE ANTERIOR]]</f>
        <v>2600</v>
      </c>
    </row>
    <row r="128" spans="1:13" ht="13.5" customHeight="1" x14ac:dyDescent="0.2">
      <c r="A128" s="1">
        <v>6577</v>
      </c>
      <c r="B128" s="2">
        <v>45821</v>
      </c>
      <c r="C128" s="3" t="s">
        <v>107</v>
      </c>
      <c r="D128" s="1" t="s">
        <v>16</v>
      </c>
      <c r="E128" s="1" t="s">
        <v>23</v>
      </c>
      <c r="F128" s="4">
        <v>5277850</v>
      </c>
      <c r="G128" s="4">
        <v>4104000</v>
      </c>
      <c r="H128" s="4">
        <v>782100</v>
      </c>
      <c r="I128" s="4">
        <v>173000</v>
      </c>
      <c r="J128" s="4">
        <v>77100</v>
      </c>
      <c r="K128" s="4">
        <v>1035200</v>
      </c>
      <c r="L128" s="4">
        <v>888250</v>
      </c>
      <c r="M128" s="4">
        <f>Tabla1[[#This Row],[BASE DEL DIA]]+Tabla1[[#This Row],[ENTREGAS]]+Tabla1[[#This Row],[TARJETAS]]+Tabla1[[#This Row],[NEQUI O QR]]+Tabla1[[#This Row],[VENTAS FE.CREDITO]]-Tabla1[[#This Row],[VENTAS NETAS]]-Tabla1[[#This Row],[BASE ANTERIOR]]</f>
        <v>5300</v>
      </c>
    </row>
    <row r="129" spans="1:13" ht="13.5" customHeight="1" x14ac:dyDescent="0.2">
      <c r="A129" s="1">
        <v>6576</v>
      </c>
      <c r="B129" s="2">
        <v>45821</v>
      </c>
      <c r="C129" s="3" t="s">
        <v>65</v>
      </c>
      <c r="D129" s="1" t="s">
        <v>18</v>
      </c>
      <c r="E129" s="1" t="s">
        <v>22</v>
      </c>
      <c r="F129" s="4">
        <v>2939300</v>
      </c>
      <c r="G129" s="4">
        <v>2556700</v>
      </c>
      <c r="H129" s="4">
        <v>278300</v>
      </c>
      <c r="I129" s="4">
        <v>175800</v>
      </c>
      <c r="J129" s="4">
        <v>3600</v>
      </c>
      <c r="K129" s="4">
        <v>888250</v>
      </c>
      <c r="L129" s="4">
        <v>962950</v>
      </c>
      <c r="M129" s="4">
        <f>Tabla1[[#This Row],[BASE DEL DIA]]+Tabla1[[#This Row],[ENTREGAS]]+Tabla1[[#This Row],[TARJETAS]]+Tabla1[[#This Row],[NEQUI O QR]]+Tabla1[[#This Row],[VENTAS FE.CREDITO]]-Tabla1[[#This Row],[VENTAS NETAS]]-Tabla1[[#This Row],[BASE ANTERIOR]]</f>
        <v>400</v>
      </c>
    </row>
    <row r="130" spans="1:13" ht="13.5" customHeight="1" x14ac:dyDescent="0.2">
      <c r="A130" s="1">
        <v>6575</v>
      </c>
      <c r="B130" s="2">
        <v>45820</v>
      </c>
      <c r="C130" s="3" t="s">
        <v>130</v>
      </c>
      <c r="D130" s="1" t="s">
        <v>18</v>
      </c>
      <c r="E130" s="1" t="s">
        <v>23</v>
      </c>
      <c r="F130" s="4">
        <v>2923600</v>
      </c>
      <c r="G130" s="4">
        <v>2553000</v>
      </c>
      <c r="H130" s="4">
        <v>214400</v>
      </c>
      <c r="I130" s="4">
        <v>26300</v>
      </c>
      <c r="J130" s="4">
        <v>0</v>
      </c>
      <c r="K130" s="4">
        <v>962950</v>
      </c>
      <c r="L130" s="4">
        <v>831950</v>
      </c>
      <c r="M130" s="4">
        <f>Tabla1[[#This Row],[BASE DEL DIA]]+Tabla1[[#This Row],[ENTREGAS]]+Tabla1[[#This Row],[TARJETAS]]+Tabla1[[#This Row],[NEQUI O QR]]+Tabla1[[#This Row],[VENTAS FE.CREDITO]]-Tabla1[[#This Row],[VENTAS NETAS]]-Tabla1[[#This Row],[BASE ANTERIOR]]</f>
        <v>1100</v>
      </c>
    </row>
    <row r="131" spans="1:13" ht="13.5" customHeight="1" x14ac:dyDescent="0.2">
      <c r="A131" s="1">
        <v>6574</v>
      </c>
      <c r="B131" s="2">
        <v>45820</v>
      </c>
      <c r="C131" s="3" t="s">
        <v>176</v>
      </c>
      <c r="D131" s="1" t="s">
        <v>16</v>
      </c>
      <c r="E131" s="1" t="s">
        <v>22</v>
      </c>
      <c r="F131" s="4">
        <v>2690200</v>
      </c>
      <c r="G131" s="4">
        <v>2625000</v>
      </c>
      <c r="H131" s="4">
        <v>165700</v>
      </c>
      <c r="I131" s="4">
        <v>41700</v>
      </c>
      <c r="K131" s="4">
        <v>831950</v>
      </c>
      <c r="L131" s="4">
        <v>972000</v>
      </c>
      <c r="M131" s="4">
        <f>Tabla1[[#This Row],[BASE DEL DIA]]+Tabla1[[#This Row],[ENTREGAS]]+Tabla1[[#This Row],[TARJETAS]]+Tabla1[[#This Row],[NEQUI O QR]]+Tabla1[[#This Row],[VENTAS FE.CREDITO]]-Tabla1[[#This Row],[VENTAS NETAS]]-Tabla1[[#This Row],[BASE ANTERIOR]]</f>
        <v>2150</v>
      </c>
    </row>
    <row r="132" spans="1:13" ht="13.5" customHeight="1" x14ac:dyDescent="0.2">
      <c r="B132" s="2">
        <v>45819</v>
      </c>
      <c r="C132" s="3" t="s">
        <v>96</v>
      </c>
      <c r="D132" s="1" t="s">
        <v>18</v>
      </c>
      <c r="E132" s="1" t="s">
        <v>23</v>
      </c>
      <c r="F132" s="4">
        <v>4468100</v>
      </c>
      <c r="G132" s="4">
        <v>3744700</v>
      </c>
      <c r="H132" s="4">
        <v>335500</v>
      </c>
      <c r="I132" s="4">
        <v>93900</v>
      </c>
      <c r="J132" s="4">
        <v>104400</v>
      </c>
      <c r="K132" s="4">
        <v>972000</v>
      </c>
      <c r="L132" s="4">
        <v>783900</v>
      </c>
      <c r="M132" s="4">
        <f>Tabla1[[#This Row],[BASE DEL DIA]]+Tabla1[[#This Row],[ENTREGAS]]+Tabla1[[#This Row],[TARJETAS]]+Tabla1[[#This Row],[NEQUI O QR]]+Tabla1[[#This Row],[VENTAS FE.CREDITO]]-Tabla1[[#This Row],[VENTAS NETAS]]-Tabla1[[#This Row],[BASE ANTERIOR]]</f>
        <v>-1500</v>
      </c>
    </row>
    <row r="133" spans="1:13" ht="13.5" customHeight="1" x14ac:dyDescent="0.2">
      <c r="B133" s="2">
        <v>45819</v>
      </c>
      <c r="C133" s="3" t="s">
        <v>186</v>
      </c>
      <c r="D133" s="1" t="s">
        <v>18</v>
      </c>
      <c r="E133" s="1" t="s">
        <v>23</v>
      </c>
      <c r="F133" s="4">
        <v>3139500</v>
      </c>
      <c r="G133" s="4">
        <v>2991700</v>
      </c>
      <c r="H133" s="4">
        <v>170400</v>
      </c>
      <c r="I133" s="4">
        <v>31900</v>
      </c>
      <c r="J133" s="4">
        <v>35800</v>
      </c>
      <c r="K133" s="4">
        <v>783900</v>
      </c>
      <c r="L133" s="4">
        <v>871900</v>
      </c>
      <c r="M133" s="4">
        <f>Tabla1[[#This Row],[BASE DEL DIA]]+Tabla1[[#This Row],[ENTREGAS]]+Tabla1[[#This Row],[TARJETAS]]+Tabla1[[#This Row],[NEQUI O QR]]+Tabla1[[#This Row],[VENTAS FE.CREDITO]]-Tabla1[[#This Row],[VENTAS NETAS]]-Tabla1[[#This Row],[BASE ANTERIOR]]</f>
        <v>2300</v>
      </c>
    </row>
    <row r="134" spans="1:13" ht="13.5" customHeight="1" x14ac:dyDescent="0.2">
      <c r="A134" s="1">
        <v>6571</v>
      </c>
      <c r="B134" s="2">
        <v>45818</v>
      </c>
      <c r="C134" s="3" t="s">
        <v>107</v>
      </c>
      <c r="D134" s="1" t="s">
        <v>18</v>
      </c>
      <c r="E134" s="1" t="s">
        <v>23</v>
      </c>
      <c r="F134" s="4">
        <v>3701850</v>
      </c>
      <c r="G134" s="4">
        <v>3318000</v>
      </c>
      <c r="H134" s="4">
        <v>232350</v>
      </c>
      <c r="I134" s="4">
        <v>154800</v>
      </c>
      <c r="J134" s="4">
        <v>0</v>
      </c>
      <c r="K134" s="4">
        <v>871900</v>
      </c>
      <c r="L134" s="4">
        <v>869900</v>
      </c>
      <c r="M134" s="4">
        <f>Tabla1[[#This Row],[BASE DEL DIA]]+Tabla1[[#This Row],[ENTREGAS]]+Tabla1[[#This Row],[TARJETAS]]+Tabla1[[#This Row],[NEQUI O QR]]+Tabla1[[#This Row],[VENTAS FE.CREDITO]]-Tabla1[[#This Row],[VENTAS NETAS]]-Tabla1[[#This Row],[BASE ANTERIOR]]</f>
        <v>5300</v>
      </c>
    </row>
    <row r="135" spans="1:13" ht="13.5" customHeight="1" x14ac:dyDescent="0.2">
      <c r="A135" s="1">
        <v>6570</v>
      </c>
      <c r="B135" s="2">
        <v>45818</v>
      </c>
      <c r="C135" s="3" t="s">
        <v>65</v>
      </c>
      <c r="D135" s="1" t="s">
        <v>19</v>
      </c>
      <c r="E135" s="1" t="s">
        <v>22</v>
      </c>
      <c r="F135" s="4">
        <v>1867500</v>
      </c>
      <c r="G135" s="4">
        <v>1932400</v>
      </c>
      <c r="H135" s="4">
        <v>10300</v>
      </c>
      <c r="I135" s="4">
        <v>14400</v>
      </c>
      <c r="J135" s="4">
        <v>39900</v>
      </c>
      <c r="K135" s="4">
        <v>869900</v>
      </c>
      <c r="L135" s="4">
        <v>999400</v>
      </c>
      <c r="M135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136" spans="1:13" ht="13.5" customHeight="1" x14ac:dyDescent="0.2">
      <c r="A136" s="1">
        <v>6569</v>
      </c>
      <c r="B136" s="2">
        <v>45817</v>
      </c>
      <c r="C136" s="3" t="s">
        <v>96</v>
      </c>
      <c r="D136" s="1" t="s">
        <v>16</v>
      </c>
      <c r="E136" s="1" t="s">
        <v>23</v>
      </c>
      <c r="F136" s="4">
        <v>5160800</v>
      </c>
      <c r="G136" s="4">
        <v>4664000</v>
      </c>
      <c r="H136" s="4">
        <v>295500</v>
      </c>
      <c r="I136" s="4">
        <v>91500</v>
      </c>
      <c r="K136" s="4">
        <v>999400</v>
      </c>
      <c r="L136" s="4">
        <v>880450</v>
      </c>
      <c r="M136" s="4">
        <f>Tabla1[[#This Row],[BASE DEL DIA]]+Tabla1[[#This Row],[ENTREGAS]]+Tabla1[[#This Row],[TARJETAS]]+Tabla1[[#This Row],[NEQUI O QR]]+Tabla1[[#This Row],[VENTAS FE.CREDITO]]-Tabla1[[#This Row],[VENTAS NETAS]]-Tabla1[[#This Row],[BASE ANTERIOR]]</f>
        <v>9150</v>
      </c>
    </row>
    <row r="137" spans="1:13" ht="13.5" customHeight="1" x14ac:dyDescent="0.2">
      <c r="A137" s="1">
        <v>6568</v>
      </c>
      <c r="B137" s="2">
        <v>45817</v>
      </c>
      <c r="C137" s="3" t="s">
        <v>151</v>
      </c>
      <c r="D137" s="1" t="s">
        <v>18</v>
      </c>
      <c r="E137" s="1" t="s">
        <v>22</v>
      </c>
      <c r="F137" s="4">
        <v>3052650</v>
      </c>
      <c r="G137" s="4">
        <v>2827200</v>
      </c>
      <c r="H137" s="4">
        <v>106700</v>
      </c>
      <c r="I137" s="4">
        <v>46800</v>
      </c>
      <c r="K137" s="4">
        <v>880450</v>
      </c>
      <c r="L137" s="4">
        <v>808350</v>
      </c>
      <c r="M137" s="4">
        <f>Tabla1[[#This Row],[BASE DEL DIA]]+Tabla1[[#This Row],[ENTREGAS]]+Tabla1[[#This Row],[TARJETAS]]+Tabla1[[#This Row],[NEQUI O QR]]+Tabla1[[#This Row],[VENTAS FE.CREDITO]]-Tabla1[[#This Row],[VENTAS NETAS]]-Tabla1[[#This Row],[BASE ANTERIOR]]</f>
        <v>150</v>
      </c>
    </row>
    <row r="138" spans="1:13" ht="13.5" customHeight="1" x14ac:dyDescent="0.2">
      <c r="A138" s="1">
        <v>6567</v>
      </c>
      <c r="B138" s="2">
        <v>45816</v>
      </c>
      <c r="C138" s="3" t="s">
        <v>154</v>
      </c>
      <c r="D138" s="1" t="s">
        <v>17</v>
      </c>
      <c r="E138" s="1" t="s">
        <v>23</v>
      </c>
      <c r="F138" s="4">
        <v>6466100</v>
      </c>
      <c r="G138" s="4">
        <v>5928000</v>
      </c>
      <c r="H138" s="4">
        <v>499200</v>
      </c>
      <c r="I138" s="4">
        <v>61700</v>
      </c>
      <c r="J138" s="4">
        <v>27900</v>
      </c>
      <c r="K138" s="4">
        <v>808350</v>
      </c>
      <c r="L138" s="4">
        <v>856600</v>
      </c>
      <c r="M138" s="4">
        <f>Tabla1[[#This Row],[BASE DEL DIA]]+Tabla1[[#This Row],[ENTREGAS]]+Tabla1[[#This Row],[TARJETAS]]+Tabla1[[#This Row],[NEQUI O QR]]+Tabla1[[#This Row],[VENTAS FE.CREDITO]]-Tabla1[[#This Row],[VENTAS NETAS]]-Tabla1[[#This Row],[BASE ANTERIOR]]</f>
        <v>2450</v>
      </c>
    </row>
    <row r="139" spans="1:13" ht="13.5" customHeight="1" x14ac:dyDescent="0.2">
      <c r="A139" s="1">
        <v>6566</v>
      </c>
      <c r="B139" s="2">
        <v>45816</v>
      </c>
      <c r="C139" s="3" t="s">
        <v>194</v>
      </c>
      <c r="D139" s="1" t="s">
        <v>180</v>
      </c>
      <c r="E139" s="1" t="s">
        <v>22</v>
      </c>
      <c r="F139" s="4">
        <v>4347500</v>
      </c>
      <c r="G139" s="4">
        <v>4111600</v>
      </c>
      <c r="H139" s="4">
        <v>315300</v>
      </c>
      <c r="I139" s="4">
        <v>43600</v>
      </c>
      <c r="K139" s="4">
        <v>856600</v>
      </c>
      <c r="L139" s="4">
        <v>974600</v>
      </c>
      <c r="M139" s="4">
        <f>Tabla1[[#This Row],[BASE DEL DIA]]+Tabla1[[#This Row],[ENTREGAS]]+Tabla1[[#This Row],[TARJETAS]]+Tabla1[[#This Row],[NEQUI O QR]]+Tabla1[[#This Row],[VENTAS FE.CREDITO]]-Tabla1[[#This Row],[VENTAS NETAS]]-Tabla1[[#This Row],[BASE ANTERIOR]]</f>
        <v>5000</v>
      </c>
    </row>
    <row r="140" spans="1:13" ht="13.5" customHeight="1" x14ac:dyDescent="0.2">
      <c r="A140" s="1">
        <v>6565</v>
      </c>
      <c r="B140" s="2">
        <v>45815</v>
      </c>
      <c r="C140" s="3" t="s">
        <v>63</v>
      </c>
      <c r="D140" s="1" t="s">
        <v>180</v>
      </c>
      <c r="E140" s="1" t="s">
        <v>23</v>
      </c>
      <c r="F140" s="4">
        <v>5404400</v>
      </c>
      <c r="G140" s="4">
        <v>4800000</v>
      </c>
      <c r="H140" s="4">
        <v>389000</v>
      </c>
      <c r="I140" s="4">
        <v>74500</v>
      </c>
      <c r="K140" s="4">
        <v>974600</v>
      </c>
      <c r="L140" s="4">
        <v>827250</v>
      </c>
      <c r="M140" s="4">
        <f>Tabla1[[#This Row],[BASE DEL DIA]]+Tabla1[[#This Row],[ENTREGAS]]+Tabla1[[#This Row],[TARJETAS]]+Tabla1[[#This Row],[NEQUI O QR]]+Tabla1[[#This Row],[VENTAS FE.CREDITO]]-Tabla1[[#This Row],[VENTAS NETAS]]-Tabla1[[#This Row],[BASE ANTERIOR]]</f>
        <v>6450</v>
      </c>
    </row>
    <row r="141" spans="1:13" ht="13.5" customHeight="1" x14ac:dyDescent="0.2">
      <c r="B141" s="2">
        <v>45815</v>
      </c>
      <c r="C141" s="3" t="s">
        <v>86</v>
      </c>
      <c r="D141" s="1" t="s">
        <v>17</v>
      </c>
      <c r="E141" s="1" t="s">
        <v>23</v>
      </c>
      <c r="F141" s="4">
        <v>2971500</v>
      </c>
      <c r="G141" s="4">
        <v>2840650</v>
      </c>
      <c r="H141" s="4">
        <v>46000</v>
      </c>
      <c r="I141" s="4">
        <v>130400</v>
      </c>
      <c r="K141" s="4">
        <v>827250</v>
      </c>
      <c r="L141" s="4">
        <v>868200</v>
      </c>
      <c r="M141" s="4">
        <f>Tabla1[[#This Row],[BASE DEL DIA]]+Tabla1[[#This Row],[ENTREGAS]]+Tabla1[[#This Row],[TARJETAS]]+Tabla1[[#This Row],[NEQUI O QR]]+Tabla1[[#This Row],[VENTAS FE.CREDITO]]-Tabla1[[#This Row],[VENTAS NETAS]]-Tabla1[[#This Row],[BASE ANTERIOR]]</f>
        <v>4600</v>
      </c>
    </row>
    <row r="142" spans="1:13" ht="13.5" customHeight="1" x14ac:dyDescent="0.2">
      <c r="A142" s="1">
        <v>6563</v>
      </c>
      <c r="B142" s="2">
        <v>45814</v>
      </c>
      <c r="C142" s="3" t="s">
        <v>96</v>
      </c>
      <c r="D142" s="1" t="s">
        <v>17</v>
      </c>
      <c r="E142" s="1" t="s">
        <v>23</v>
      </c>
      <c r="F142" s="4">
        <v>3754300</v>
      </c>
      <c r="G142" s="4">
        <v>3299000</v>
      </c>
      <c r="H142" s="4">
        <v>394900</v>
      </c>
      <c r="I142" s="4">
        <v>45100</v>
      </c>
      <c r="J142" s="4">
        <v>24400</v>
      </c>
      <c r="K142" s="4">
        <v>868200</v>
      </c>
      <c r="L142" s="4">
        <v>881200</v>
      </c>
      <c r="M142" s="4">
        <f>Tabla1[[#This Row],[BASE DEL DIA]]+Tabla1[[#This Row],[ENTREGAS]]+Tabla1[[#This Row],[TARJETAS]]+Tabla1[[#This Row],[NEQUI O QR]]+Tabla1[[#This Row],[VENTAS FE.CREDITO]]-Tabla1[[#This Row],[VENTAS NETAS]]-Tabla1[[#This Row],[BASE ANTERIOR]]</f>
        <v>-3900</v>
      </c>
    </row>
    <row r="143" spans="1:13" ht="13.5" customHeight="1" x14ac:dyDescent="0.2">
      <c r="A143" s="1">
        <v>6562</v>
      </c>
      <c r="B143" s="2">
        <v>45814</v>
      </c>
      <c r="C143" s="3" t="s">
        <v>80</v>
      </c>
      <c r="D143" s="1" t="s">
        <v>180</v>
      </c>
      <c r="E143" s="1" t="s">
        <v>23</v>
      </c>
      <c r="F143" s="4">
        <v>2358900</v>
      </c>
      <c r="G143" s="4">
        <v>2358000</v>
      </c>
      <c r="H143" s="4">
        <v>19400</v>
      </c>
      <c r="I143" s="4">
        <v>33800</v>
      </c>
      <c r="K143" s="4">
        <v>881200</v>
      </c>
      <c r="L143" s="4">
        <v>930100</v>
      </c>
      <c r="M143" s="4">
        <f>Tabla1[[#This Row],[BASE DEL DIA]]+Tabla1[[#This Row],[ENTREGAS]]+Tabla1[[#This Row],[TARJETAS]]+Tabla1[[#This Row],[NEQUI O QR]]+Tabla1[[#This Row],[VENTAS FE.CREDITO]]-Tabla1[[#This Row],[VENTAS NETAS]]-Tabla1[[#This Row],[BASE ANTERIOR]]</f>
        <v>3400</v>
      </c>
    </row>
    <row r="144" spans="1:13" ht="13.5" customHeight="1" x14ac:dyDescent="0.2">
      <c r="A144" s="1">
        <v>6561</v>
      </c>
      <c r="B144" s="2">
        <v>45813</v>
      </c>
      <c r="C144" s="3" t="s">
        <v>106</v>
      </c>
      <c r="D144" s="1" t="s">
        <v>180</v>
      </c>
      <c r="E144" s="1" t="s">
        <v>23</v>
      </c>
      <c r="F144" s="4">
        <v>4137300</v>
      </c>
      <c r="G144" s="4">
        <v>3450000</v>
      </c>
      <c r="H144" s="4">
        <v>604900</v>
      </c>
      <c r="I144" s="4">
        <v>65700</v>
      </c>
      <c r="K144" s="4">
        <v>930100</v>
      </c>
      <c r="L144" s="4">
        <v>906200</v>
      </c>
      <c r="M144" s="4">
        <f>Tabla1[[#This Row],[BASE DEL DIA]]+Tabla1[[#This Row],[ENTREGAS]]+Tabla1[[#This Row],[TARJETAS]]+Tabla1[[#This Row],[NEQUI O QR]]+Tabla1[[#This Row],[VENTAS FE.CREDITO]]-Tabla1[[#This Row],[VENTAS NETAS]]-Tabla1[[#This Row],[BASE ANTERIOR]]</f>
        <v>7200</v>
      </c>
    </row>
    <row r="145" spans="1:13" ht="13.5" customHeight="1" x14ac:dyDescent="0.2">
      <c r="A145" s="1">
        <v>6560</v>
      </c>
      <c r="B145" s="2">
        <v>45813</v>
      </c>
      <c r="C145" s="3" t="s">
        <v>97</v>
      </c>
      <c r="D145" s="1" t="s">
        <v>19</v>
      </c>
      <c r="E145" s="1" t="s">
        <v>22</v>
      </c>
      <c r="F145" s="4">
        <v>2527350</v>
      </c>
      <c r="G145" s="4">
        <v>2320800</v>
      </c>
      <c r="H145" s="4">
        <v>193500</v>
      </c>
      <c r="K145" s="4">
        <v>906200</v>
      </c>
      <c r="L145" s="4">
        <v>890950</v>
      </c>
      <c r="M145" s="4">
        <f>Tabla1[[#This Row],[BASE DEL DIA]]+Tabla1[[#This Row],[ENTREGAS]]+Tabla1[[#This Row],[TARJETAS]]+Tabla1[[#This Row],[NEQUI O QR]]+Tabla1[[#This Row],[VENTAS FE.CREDITO]]-Tabla1[[#This Row],[VENTAS NETAS]]-Tabla1[[#This Row],[BASE ANTERIOR]]</f>
        <v>2200</v>
      </c>
    </row>
    <row r="146" spans="1:13" ht="13.5" customHeight="1" x14ac:dyDescent="0.2">
      <c r="A146" s="1">
        <v>6559</v>
      </c>
      <c r="B146" s="2">
        <v>45812</v>
      </c>
      <c r="C146" s="3" t="s">
        <v>130</v>
      </c>
      <c r="D146" s="1" t="s">
        <v>17</v>
      </c>
      <c r="E146" s="1" t="s">
        <v>23</v>
      </c>
      <c r="F146" s="4">
        <v>5289800</v>
      </c>
      <c r="G146" s="4">
        <v>4365400</v>
      </c>
      <c r="H146" s="4">
        <v>698200</v>
      </c>
      <c r="I146" s="4">
        <v>217800</v>
      </c>
      <c r="J146" s="4">
        <v>29000</v>
      </c>
      <c r="K146" s="4">
        <v>890950</v>
      </c>
      <c r="L146" s="4">
        <v>900500</v>
      </c>
      <c r="M146" s="4">
        <f>Tabla1[[#This Row],[BASE DEL DIA]]+Tabla1[[#This Row],[ENTREGAS]]+Tabla1[[#This Row],[TARJETAS]]+Tabla1[[#This Row],[NEQUI O QR]]+Tabla1[[#This Row],[VENTAS FE.CREDITO]]-Tabla1[[#This Row],[VENTAS NETAS]]-Tabla1[[#This Row],[BASE ANTERIOR]]</f>
        <v>11050</v>
      </c>
    </row>
    <row r="147" spans="1:13" ht="13.5" customHeight="1" x14ac:dyDescent="0.2">
      <c r="A147" s="1">
        <v>6558</v>
      </c>
      <c r="B147" s="2">
        <v>45812</v>
      </c>
      <c r="C147" s="3" t="s">
        <v>125</v>
      </c>
      <c r="D147" s="1" t="s">
        <v>19</v>
      </c>
      <c r="E147" s="1" t="s">
        <v>22</v>
      </c>
      <c r="F147" s="4">
        <v>3066300</v>
      </c>
      <c r="G147" s="4">
        <v>2359700</v>
      </c>
      <c r="H147" s="4">
        <v>595000</v>
      </c>
      <c r="I147" s="4">
        <v>13900</v>
      </c>
      <c r="J147" s="4">
        <v>25000</v>
      </c>
      <c r="K147" s="4">
        <v>900500</v>
      </c>
      <c r="L147" s="4">
        <v>827550</v>
      </c>
      <c r="M147" s="4">
        <f>Tabla1[[#This Row],[BASE DEL DIA]]+Tabla1[[#This Row],[ENTREGAS]]+Tabla1[[#This Row],[TARJETAS]]+Tabla1[[#This Row],[NEQUI O QR]]+Tabla1[[#This Row],[VENTAS FE.CREDITO]]-Tabla1[[#This Row],[VENTAS NETAS]]-Tabla1[[#This Row],[BASE ANTERIOR]]</f>
        <v>250</v>
      </c>
    </row>
    <row r="148" spans="1:13" ht="13.5" customHeight="1" x14ac:dyDescent="0.2">
      <c r="A148" s="1">
        <v>6557</v>
      </c>
      <c r="B148" s="2">
        <v>45811</v>
      </c>
      <c r="C148" s="3" t="s">
        <v>72</v>
      </c>
      <c r="D148" s="1" t="s">
        <v>180</v>
      </c>
      <c r="E148" s="1" t="s">
        <v>23</v>
      </c>
      <c r="F148" s="4">
        <v>5358400</v>
      </c>
      <c r="G148" s="4">
        <v>5130000</v>
      </c>
      <c r="H148" s="4">
        <v>259100</v>
      </c>
      <c r="I148" s="4">
        <v>61700</v>
      </c>
      <c r="K148" s="4">
        <v>827550</v>
      </c>
      <c r="L148" s="4">
        <v>925850</v>
      </c>
      <c r="M148" s="4">
        <f>Tabla1[[#This Row],[BASE DEL DIA]]+Tabla1[[#This Row],[ENTREGAS]]+Tabla1[[#This Row],[TARJETAS]]+Tabla1[[#This Row],[NEQUI O QR]]+Tabla1[[#This Row],[VENTAS FE.CREDITO]]-Tabla1[[#This Row],[VENTAS NETAS]]-Tabla1[[#This Row],[BASE ANTERIOR]]</f>
        <v>-5900</v>
      </c>
    </row>
    <row r="149" spans="1:13" ht="13.5" customHeight="1" x14ac:dyDescent="0.2">
      <c r="A149" s="1">
        <v>6556</v>
      </c>
      <c r="B149" s="2">
        <v>45811</v>
      </c>
      <c r="C149" s="3" t="s">
        <v>129</v>
      </c>
      <c r="D149" s="1" t="s">
        <v>17</v>
      </c>
      <c r="E149" s="1" t="s">
        <v>22</v>
      </c>
      <c r="F149" s="4">
        <v>3750200</v>
      </c>
      <c r="G149" s="4">
        <v>3650100</v>
      </c>
      <c r="H149" s="4">
        <v>58800</v>
      </c>
      <c r="I149" s="4">
        <v>26300</v>
      </c>
      <c r="K149" s="4">
        <v>925850</v>
      </c>
      <c r="L149" s="4">
        <v>896150</v>
      </c>
      <c r="M149" s="4">
        <f>Tabla1[[#This Row],[BASE DEL DIA]]+Tabla1[[#This Row],[ENTREGAS]]+Tabla1[[#This Row],[TARJETAS]]+Tabla1[[#This Row],[NEQUI O QR]]+Tabla1[[#This Row],[VENTAS FE.CREDITO]]-Tabla1[[#This Row],[VENTAS NETAS]]-Tabla1[[#This Row],[BASE ANTERIOR]]</f>
        <v>14700</v>
      </c>
    </row>
    <row r="150" spans="1:13" ht="13.5" customHeight="1" x14ac:dyDescent="0.2">
      <c r="A150" s="1">
        <v>6555</v>
      </c>
      <c r="B150" s="2">
        <v>45810</v>
      </c>
      <c r="C150" s="3" t="s">
        <v>158</v>
      </c>
      <c r="D150" s="1" t="s">
        <v>17</v>
      </c>
      <c r="E150" s="1" t="s">
        <v>23</v>
      </c>
      <c r="F150" s="4">
        <v>6714600</v>
      </c>
      <c r="G150" s="4">
        <v>5653400</v>
      </c>
      <c r="H150" s="4">
        <v>841900</v>
      </c>
      <c r="I150" s="4">
        <v>177100</v>
      </c>
      <c r="J150" s="4">
        <v>0</v>
      </c>
      <c r="K150" s="4">
        <v>896150</v>
      </c>
      <c r="L150" s="4">
        <v>851200</v>
      </c>
      <c r="M150" s="4">
        <f>Tabla1[[#This Row],[BASE DEL DIA]]+Tabla1[[#This Row],[ENTREGAS]]+Tabla1[[#This Row],[TARJETAS]]+Tabla1[[#This Row],[NEQUI O QR]]+Tabla1[[#This Row],[VENTAS FE.CREDITO]]-Tabla1[[#This Row],[VENTAS NETAS]]-Tabla1[[#This Row],[BASE ANTERIOR]]</f>
        <v>2750</v>
      </c>
    </row>
    <row r="151" spans="1:13" ht="13.5" customHeight="1" x14ac:dyDescent="0.2">
      <c r="A151" s="1">
        <v>6554</v>
      </c>
      <c r="B151" s="2">
        <v>45810</v>
      </c>
      <c r="C151" s="3" t="s">
        <v>46</v>
      </c>
      <c r="D151" s="1" t="s">
        <v>180</v>
      </c>
      <c r="E151" s="1" t="s">
        <v>22</v>
      </c>
      <c r="F151" s="4">
        <v>5145300</v>
      </c>
      <c r="G151" s="4">
        <v>4355800</v>
      </c>
      <c r="H151" s="4">
        <v>597200</v>
      </c>
      <c r="I151" s="4">
        <v>115000</v>
      </c>
      <c r="J151" s="4">
        <v>9500</v>
      </c>
      <c r="K151" s="4">
        <v>851200</v>
      </c>
      <c r="L151" s="4">
        <v>778300</v>
      </c>
      <c r="M151" s="4">
        <f>Tabla1[[#This Row],[BASE DEL DIA]]+Tabla1[[#This Row],[ENTREGAS]]+Tabla1[[#This Row],[TARJETAS]]+Tabla1[[#This Row],[NEQUI O QR]]+Tabla1[[#This Row],[VENTAS FE.CREDITO]]-Tabla1[[#This Row],[VENTAS NETAS]]-Tabla1[[#This Row],[BASE ANTERIOR]]</f>
        <v>5100</v>
      </c>
    </row>
    <row r="152" spans="1:13" ht="13.5" customHeight="1" x14ac:dyDescent="0.2">
      <c r="A152" s="1">
        <v>6553</v>
      </c>
      <c r="B152" s="2">
        <v>45809</v>
      </c>
      <c r="C152" s="3" t="s">
        <v>156</v>
      </c>
      <c r="D152" s="1" t="s">
        <v>16</v>
      </c>
      <c r="E152" s="1" t="s">
        <v>23</v>
      </c>
      <c r="F152" s="4">
        <v>7420949</v>
      </c>
      <c r="G152" s="4">
        <v>7122500</v>
      </c>
      <c r="H152" s="4">
        <v>251750</v>
      </c>
      <c r="I152" s="4">
        <v>156500</v>
      </c>
      <c r="J152" s="4">
        <v>25500</v>
      </c>
      <c r="K152" s="4">
        <v>778300</v>
      </c>
      <c r="L152" s="4">
        <v>908300</v>
      </c>
      <c r="M152" s="4">
        <f>Tabla1[[#This Row],[BASE DEL DIA]]+Tabla1[[#This Row],[ENTREGAS]]+Tabla1[[#This Row],[TARJETAS]]+Tabla1[[#This Row],[NEQUI O QR]]+Tabla1[[#This Row],[VENTAS FE.CREDITO]]-Tabla1[[#This Row],[VENTAS NETAS]]-Tabla1[[#This Row],[BASE ANTERIOR]]</f>
        <v>5301</v>
      </c>
    </row>
    <row r="153" spans="1:13" ht="13.5" customHeight="1" x14ac:dyDescent="0.2">
      <c r="B153" s="2">
        <v>45809</v>
      </c>
      <c r="C153" s="3" t="s">
        <v>111</v>
      </c>
      <c r="D153" s="1" t="s">
        <v>18</v>
      </c>
      <c r="E153" s="1" t="s">
        <v>23</v>
      </c>
      <c r="F153" s="4">
        <v>6353600</v>
      </c>
      <c r="G153" s="4">
        <v>5520700</v>
      </c>
      <c r="H153" s="4">
        <v>658300</v>
      </c>
      <c r="I153" s="4">
        <v>175400</v>
      </c>
      <c r="K153" s="4">
        <v>908300</v>
      </c>
      <c r="L153" s="4">
        <v>908600</v>
      </c>
      <c r="M153" s="4">
        <f>Tabla1[[#This Row],[BASE DEL DIA]]+Tabla1[[#This Row],[ENTREGAS]]+Tabla1[[#This Row],[TARJETAS]]+Tabla1[[#This Row],[NEQUI O QR]]+Tabla1[[#This Row],[VENTAS FE.CREDITO]]-Tabla1[[#This Row],[VENTAS NETAS]]-Tabla1[[#This Row],[BASE ANTERIOR]]</f>
        <v>500</v>
      </c>
    </row>
    <row r="154" spans="1:13" ht="13.5" customHeight="1" x14ac:dyDescent="0.2">
      <c r="A154" s="1">
        <v>6551</v>
      </c>
      <c r="B154" s="2">
        <v>45808</v>
      </c>
      <c r="C154" s="3" t="s">
        <v>110</v>
      </c>
      <c r="D154" s="1" t="s">
        <v>18</v>
      </c>
      <c r="E154" s="1" t="s">
        <v>23</v>
      </c>
      <c r="F154" s="4">
        <v>6875600</v>
      </c>
      <c r="G154" s="4">
        <v>6438500</v>
      </c>
      <c r="H154" s="4">
        <v>403800</v>
      </c>
      <c r="I154" s="4">
        <v>0</v>
      </c>
      <c r="J154" s="4">
        <v>37300</v>
      </c>
      <c r="K154" s="4">
        <v>908600</v>
      </c>
      <c r="L154" s="4">
        <v>909600</v>
      </c>
      <c r="M154" s="4">
        <f>Tabla1[[#This Row],[BASE DEL DIA]]+Tabla1[[#This Row],[ENTREGAS]]+Tabla1[[#This Row],[TARJETAS]]+Tabla1[[#This Row],[NEQUI O QR]]+Tabla1[[#This Row],[VENTAS FE.CREDITO]]-Tabla1[[#This Row],[VENTAS NETAS]]-Tabla1[[#This Row],[BASE ANTERIOR]]</f>
        <v>3000</v>
      </c>
    </row>
    <row r="155" spans="1:13" ht="13.5" customHeight="1" x14ac:dyDescent="0.2">
      <c r="A155" s="1">
        <v>6550</v>
      </c>
      <c r="B155" s="2">
        <v>45808</v>
      </c>
      <c r="C155" s="3" t="s">
        <v>91</v>
      </c>
      <c r="D155" s="1" t="s">
        <v>16</v>
      </c>
      <c r="E155" s="1" t="s">
        <v>22</v>
      </c>
      <c r="F155" s="4">
        <v>5838800</v>
      </c>
      <c r="G155" s="4">
        <v>5299250</v>
      </c>
      <c r="H155" s="4">
        <v>418400</v>
      </c>
      <c r="I155" s="4">
        <v>38000</v>
      </c>
      <c r="K155" s="4">
        <v>909600</v>
      </c>
      <c r="L155" s="4">
        <v>823500</v>
      </c>
      <c r="M155" s="4">
        <f>Tabla1[[#This Row],[BASE DEL DIA]]+Tabla1[[#This Row],[ENTREGAS]]+Tabla1[[#This Row],[TARJETAS]]+Tabla1[[#This Row],[NEQUI O QR]]+Tabla1[[#This Row],[VENTAS FE.CREDITO]]-Tabla1[[#This Row],[VENTAS NETAS]]-Tabla1[[#This Row],[BASE ANTERIOR]]</f>
        <v>2950</v>
      </c>
    </row>
    <row r="156" spans="1:13" ht="13.5" customHeight="1" x14ac:dyDescent="0.2">
      <c r="A156" s="1">
        <v>6549</v>
      </c>
      <c r="B156" s="2">
        <v>45807</v>
      </c>
      <c r="C156" s="3" t="s">
        <v>66</v>
      </c>
      <c r="D156" s="1" t="s">
        <v>16</v>
      </c>
      <c r="E156" s="1" t="s">
        <v>23</v>
      </c>
      <c r="F156" s="4">
        <v>6312850</v>
      </c>
      <c r="G156" s="4">
        <v>5279600</v>
      </c>
      <c r="H156" s="4">
        <v>974900</v>
      </c>
      <c r="I156" s="4">
        <v>125700</v>
      </c>
      <c r="J156" s="4">
        <v>0</v>
      </c>
      <c r="K156" s="4">
        <v>823500</v>
      </c>
      <c r="L156" s="4">
        <v>878650</v>
      </c>
      <c r="M156" s="4">
        <f>Tabla1[[#This Row],[BASE DEL DIA]]+Tabla1[[#This Row],[ENTREGAS]]+Tabla1[[#This Row],[TARJETAS]]+Tabla1[[#This Row],[NEQUI O QR]]+Tabla1[[#This Row],[VENTAS FE.CREDITO]]-Tabla1[[#This Row],[VENTAS NETAS]]-Tabla1[[#This Row],[BASE ANTERIOR]]</f>
        <v>12200</v>
      </c>
    </row>
    <row r="157" spans="1:13" ht="13.5" customHeight="1" x14ac:dyDescent="0.2">
      <c r="A157" s="1">
        <v>6548</v>
      </c>
      <c r="B157" s="2">
        <v>45807</v>
      </c>
      <c r="C157" s="3" t="s">
        <v>87</v>
      </c>
      <c r="D157" s="1" t="s">
        <v>16</v>
      </c>
      <c r="E157" s="1" t="s">
        <v>22</v>
      </c>
      <c r="F157" s="4">
        <v>3139200</v>
      </c>
      <c r="G157" s="4">
        <v>2646100</v>
      </c>
      <c r="H157" s="4">
        <v>452200</v>
      </c>
      <c r="I157" s="4">
        <v>54700</v>
      </c>
      <c r="J157" s="4">
        <v>6100</v>
      </c>
      <c r="K157" s="4">
        <v>878650</v>
      </c>
      <c r="L157" s="4">
        <v>899000</v>
      </c>
      <c r="M157" s="4">
        <f>Tabla1[[#This Row],[BASE DEL DIA]]+Tabla1[[#This Row],[ENTREGAS]]+Tabla1[[#This Row],[TARJETAS]]+Tabla1[[#This Row],[NEQUI O QR]]+Tabla1[[#This Row],[VENTAS FE.CREDITO]]-Tabla1[[#This Row],[VENTAS NETAS]]-Tabla1[[#This Row],[BASE ANTERIOR]]</f>
        <v>-450</v>
      </c>
    </row>
    <row r="158" spans="1:13" ht="13.5" customHeight="1" x14ac:dyDescent="0.2">
      <c r="A158" s="1">
        <v>6547</v>
      </c>
      <c r="B158" s="2">
        <v>45806</v>
      </c>
      <c r="C158" s="3" t="s">
        <v>105</v>
      </c>
      <c r="D158" s="1" t="s">
        <v>18</v>
      </c>
      <c r="E158" s="1" t="s">
        <v>23</v>
      </c>
      <c r="F158" s="4">
        <v>4315550</v>
      </c>
      <c r="G158" s="4">
        <v>3798500</v>
      </c>
      <c r="H158" s="4">
        <v>305400</v>
      </c>
      <c r="I158" s="4">
        <v>122300</v>
      </c>
      <c r="J158" s="4">
        <v>0</v>
      </c>
      <c r="K158" s="4">
        <v>899000</v>
      </c>
      <c r="L158" s="4">
        <v>807850</v>
      </c>
      <c r="M158" s="4">
        <f>Tabla1[[#This Row],[BASE DEL DIA]]+Tabla1[[#This Row],[ENTREGAS]]+Tabla1[[#This Row],[TARJETAS]]+Tabla1[[#This Row],[NEQUI O QR]]+Tabla1[[#This Row],[VENTAS FE.CREDITO]]-Tabla1[[#This Row],[VENTAS NETAS]]-Tabla1[[#This Row],[BASE ANTERIOR]]</f>
        <v>1800</v>
      </c>
    </row>
    <row r="159" spans="1:13" ht="13.5" customHeight="1" x14ac:dyDescent="0.2">
      <c r="A159" s="1">
        <v>6546</v>
      </c>
      <c r="B159" s="2">
        <v>45806</v>
      </c>
      <c r="C159" s="3" t="s">
        <v>186</v>
      </c>
      <c r="D159" s="1" t="s">
        <v>16</v>
      </c>
      <c r="E159" s="1" t="s">
        <v>22</v>
      </c>
      <c r="F159" s="4">
        <v>2471900</v>
      </c>
      <c r="G159" s="4">
        <v>2411000</v>
      </c>
      <c r="H159" s="4">
        <v>127100</v>
      </c>
      <c r="I159" s="4">
        <v>30250</v>
      </c>
      <c r="K159" s="4">
        <v>807850</v>
      </c>
      <c r="L159" s="4">
        <v>894600</v>
      </c>
      <c r="M159" s="4">
        <f>Tabla1[[#This Row],[BASE DEL DIA]]+Tabla1[[#This Row],[ENTREGAS]]+Tabla1[[#This Row],[TARJETAS]]+Tabla1[[#This Row],[NEQUI O QR]]+Tabla1[[#This Row],[VENTAS FE.CREDITO]]-Tabla1[[#This Row],[VENTAS NETAS]]-Tabla1[[#This Row],[BASE ANTERIOR]]</f>
        <v>9700</v>
      </c>
    </row>
    <row r="160" spans="1:13" ht="13.5" customHeight="1" x14ac:dyDescent="0.2">
      <c r="A160" s="1">
        <v>6545</v>
      </c>
      <c r="B160" s="2">
        <v>45805</v>
      </c>
      <c r="C160" s="3" t="s">
        <v>96</v>
      </c>
      <c r="D160" s="1" t="s">
        <v>19</v>
      </c>
      <c r="E160" s="1" t="s">
        <v>24</v>
      </c>
      <c r="F160" s="4">
        <v>6086900</v>
      </c>
      <c r="G160" s="4">
        <v>5238600</v>
      </c>
      <c r="H160" s="4">
        <v>308100</v>
      </c>
      <c r="I160" s="4">
        <v>450200</v>
      </c>
      <c r="J160" s="4">
        <v>52000</v>
      </c>
      <c r="K160" s="4">
        <v>894600</v>
      </c>
      <c r="L160" s="4">
        <v>859800</v>
      </c>
      <c r="M160" s="4">
        <f>Tabla1[[#This Row],[BASE DEL DIA]]+Tabla1[[#This Row],[ENTREGAS]]+Tabla1[[#This Row],[TARJETAS]]+Tabla1[[#This Row],[NEQUI O QR]]+Tabla1[[#This Row],[VENTAS FE.CREDITO]]-Tabla1[[#This Row],[VENTAS NETAS]]-Tabla1[[#This Row],[BASE ANTERIOR]]</f>
        <v>-3200</v>
      </c>
    </row>
    <row r="161" spans="1:13" ht="13.5" customHeight="1" x14ac:dyDescent="0.2">
      <c r="A161" s="1">
        <v>6544</v>
      </c>
      <c r="B161" s="2">
        <v>45804</v>
      </c>
      <c r="C161" s="3" t="s">
        <v>96</v>
      </c>
      <c r="D161" s="1" t="s">
        <v>18</v>
      </c>
      <c r="E161" s="1" t="s">
        <v>22</v>
      </c>
      <c r="F161" s="4">
        <v>3007500</v>
      </c>
      <c r="G161" s="4">
        <v>2800000</v>
      </c>
      <c r="H161" s="4">
        <v>215400</v>
      </c>
      <c r="I161" s="4">
        <v>23200</v>
      </c>
      <c r="J161" s="4">
        <v>18000</v>
      </c>
      <c r="K161" s="4">
        <v>859800</v>
      </c>
      <c r="L161" s="4">
        <v>907450</v>
      </c>
      <c r="M161" s="4">
        <f>Tabla1[[#This Row],[BASE DEL DIA]]+Tabla1[[#This Row],[ENTREGAS]]+Tabla1[[#This Row],[TARJETAS]]+Tabla1[[#This Row],[NEQUI O QR]]+Tabla1[[#This Row],[VENTAS FE.CREDITO]]-Tabla1[[#This Row],[VENTAS NETAS]]-Tabla1[[#This Row],[BASE ANTERIOR]]</f>
        <v>1450</v>
      </c>
    </row>
    <row r="162" spans="1:13" ht="13.5" customHeight="1" x14ac:dyDescent="0.2">
      <c r="B162" s="2">
        <v>45804</v>
      </c>
      <c r="C162" s="3" t="s">
        <v>59</v>
      </c>
      <c r="D162" s="1" t="s">
        <v>133</v>
      </c>
      <c r="E162" s="1" t="s">
        <v>23</v>
      </c>
      <c r="F162" s="4">
        <v>2277800</v>
      </c>
      <c r="G162" s="4">
        <v>2044500</v>
      </c>
      <c r="H162" s="4">
        <v>53900</v>
      </c>
      <c r="I162" s="4">
        <v>24200</v>
      </c>
      <c r="J162" s="4">
        <v>23800</v>
      </c>
      <c r="K162" s="4">
        <v>907450</v>
      </c>
      <c r="L162" s="4">
        <v>791750</v>
      </c>
      <c r="M162" s="4">
        <f>Tabla1[[#This Row],[BASE DEL DIA]]+Tabla1[[#This Row],[ENTREGAS]]+Tabla1[[#This Row],[TARJETAS]]+Tabla1[[#This Row],[NEQUI O QR]]+Tabla1[[#This Row],[VENTAS FE.CREDITO]]-Tabla1[[#This Row],[VENTAS NETAS]]-Tabla1[[#This Row],[BASE ANTERIOR]]</f>
        <v>-15700</v>
      </c>
    </row>
    <row r="163" spans="1:13" ht="13.5" customHeight="1" x14ac:dyDescent="0.2">
      <c r="B163" s="2">
        <v>45803</v>
      </c>
      <c r="C163" s="3" t="s">
        <v>110</v>
      </c>
      <c r="D163" s="1" t="s">
        <v>133</v>
      </c>
      <c r="E163" s="1" t="s">
        <v>23</v>
      </c>
      <c r="F163" s="4">
        <v>3776800</v>
      </c>
      <c r="G163" s="4">
        <v>3648000</v>
      </c>
      <c r="H163" s="4">
        <v>106700</v>
      </c>
      <c r="I163" s="4">
        <v>31700</v>
      </c>
      <c r="J163" s="4">
        <v>5700</v>
      </c>
      <c r="K163" s="4">
        <v>791750</v>
      </c>
      <c r="L163" s="4">
        <v>788500</v>
      </c>
      <c r="M163" s="4">
        <f>Tabla1[[#This Row],[BASE DEL DIA]]+Tabla1[[#This Row],[ENTREGAS]]+Tabla1[[#This Row],[TARJETAS]]+Tabla1[[#This Row],[NEQUI O QR]]+Tabla1[[#This Row],[VENTAS FE.CREDITO]]-Tabla1[[#This Row],[VENTAS NETAS]]-Tabla1[[#This Row],[BASE ANTERIOR]]</f>
        <v>18550</v>
      </c>
    </row>
    <row r="164" spans="1:13" ht="13.5" customHeight="1" x14ac:dyDescent="0.2">
      <c r="A164" s="1">
        <v>6540</v>
      </c>
      <c r="B164" s="2">
        <v>45803</v>
      </c>
      <c r="C164" s="3" t="s">
        <v>129</v>
      </c>
      <c r="D164" s="1" t="s">
        <v>180</v>
      </c>
      <c r="E164" s="1" t="s">
        <v>23</v>
      </c>
      <c r="F164" s="4">
        <v>2660950</v>
      </c>
      <c r="G164" s="4">
        <v>2333100</v>
      </c>
      <c r="H164" s="4">
        <v>195400</v>
      </c>
      <c r="I164" s="4">
        <v>90600</v>
      </c>
      <c r="J164" s="4">
        <v>9600</v>
      </c>
      <c r="K164" s="4">
        <v>788500</v>
      </c>
      <c r="L164" s="4">
        <v>756200</v>
      </c>
      <c r="M164" s="4">
        <f>Tabla1[[#This Row],[BASE DEL DIA]]+Tabla1[[#This Row],[ENTREGAS]]+Tabla1[[#This Row],[TARJETAS]]+Tabla1[[#This Row],[NEQUI O QR]]+Tabla1[[#This Row],[VENTAS FE.CREDITO]]-Tabla1[[#This Row],[VENTAS NETAS]]-Tabla1[[#This Row],[BASE ANTERIOR]]</f>
        <v>50</v>
      </c>
    </row>
    <row r="165" spans="1:13" ht="13.5" customHeight="1" x14ac:dyDescent="0.2">
      <c r="B165" s="2">
        <v>45802</v>
      </c>
      <c r="C165" s="3" t="s">
        <v>154</v>
      </c>
      <c r="D165" s="1" t="s">
        <v>180</v>
      </c>
      <c r="E165" s="1" t="s">
        <v>23</v>
      </c>
      <c r="F165" s="4">
        <v>3684850</v>
      </c>
      <c r="G165" s="4">
        <v>3483100</v>
      </c>
      <c r="H165" s="4">
        <v>174600</v>
      </c>
      <c r="I165" s="4">
        <v>68500</v>
      </c>
      <c r="J165" s="4">
        <v>19500</v>
      </c>
      <c r="K165" s="4">
        <v>756200</v>
      </c>
      <c r="L165" s="4">
        <v>810300</v>
      </c>
      <c r="M165" s="4">
        <f>Tabla1[[#This Row],[BASE DEL DIA]]+Tabla1[[#This Row],[ENTREGAS]]+Tabla1[[#This Row],[TARJETAS]]+Tabla1[[#This Row],[NEQUI O QR]]+Tabla1[[#This Row],[VENTAS FE.CREDITO]]-Tabla1[[#This Row],[VENTAS NETAS]]-Tabla1[[#This Row],[BASE ANTERIOR]]</f>
        <v>6750</v>
      </c>
    </row>
    <row r="166" spans="1:13" ht="13.5" customHeight="1" x14ac:dyDescent="0.2">
      <c r="B166" s="2">
        <v>45802</v>
      </c>
      <c r="C166" s="3" t="s">
        <v>88</v>
      </c>
      <c r="D166" s="1" t="s">
        <v>180</v>
      </c>
      <c r="E166" s="1" t="s">
        <v>23</v>
      </c>
      <c r="F166" s="4">
        <v>3196500</v>
      </c>
      <c r="G166" s="4">
        <v>3102000</v>
      </c>
      <c r="H166" s="4">
        <v>227200</v>
      </c>
      <c r="I166" s="4">
        <v>32500</v>
      </c>
      <c r="K166" s="4">
        <v>810300</v>
      </c>
      <c r="L166" s="4">
        <v>942550</v>
      </c>
      <c r="M166" s="4">
        <f>Tabla1[[#This Row],[BASE DEL DIA]]+Tabla1[[#This Row],[ENTREGAS]]+Tabla1[[#This Row],[TARJETAS]]+Tabla1[[#This Row],[NEQUI O QR]]+Tabla1[[#This Row],[VENTAS FE.CREDITO]]-Tabla1[[#This Row],[VENTAS NETAS]]-Tabla1[[#This Row],[BASE ANTERIOR]]</f>
        <v>32950</v>
      </c>
    </row>
    <row r="167" spans="1:13" ht="13.5" customHeight="1" x14ac:dyDescent="0.2">
      <c r="A167" s="1">
        <v>6538</v>
      </c>
      <c r="B167" s="2">
        <v>45801</v>
      </c>
      <c r="C167" s="3" t="s">
        <v>40</v>
      </c>
      <c r="D167" s="1" t="s">
        <v>180</v>
      </c>
      <c r="E167" s="1" t="s">
        <v>23</v>
      </c>
      <c r="F167" s="4">
        <v>4081800</v>
      </c>
      <c r="G167" s="4">
        <v>3818000</v>
      </c>
      <c r="H167" s="4">
        <v>232900</v>
      </c>
      <c r="I167" s="4">
        <v>70200</v>
      </c>
      <c r="J167" s="4">
        <v>55900</v>
      </c>
      <c r="K167" s="4">
        <v>942550</v>
      </c>
      <c r="L167" s="4">
        <v>1034350</v>
      </c>
      <c r="M167" s="4">
        <f>Tabla1[[#This Row],[BASE DEL DIA]]+Tabla1[[#This Row],[ENTREGAS]]+Tabla1[[#This Row],[TARJETAS]]+Tabla1[[#This Row],[NEQUI O QR]]+Tabla1[[#This Row],[VENTAS FE.CREDITO]]-Tabla1[[#This Row],[VENTAS NETAS]]-Tabla1[[#This Row],[BASE ANTERIOR]]</f>
        <v>3400</v>
      </c>
    </row>
    <row r="168" spans="1:13" ht="13.5" customHeight="1" x14ac:dyDescent="0.2">
      <c r="A168" s="1">
        <v>6537</v>
      </c>
      <c r="B168" s="2">
        <v>45801</v>
      </c>
      <c r="C168" s="3" t="s">
        <v>39</v>
      </c>
      <c r="D168" s="1" t="s">
        <v>17</v>
      </c>
      <c r="E168" s="1" t="s">
        <v>22</v>
      </c>
      <c r="F168" s="4">
        <v>2634000</v>
      </c>
      <c r="G168" s="4">
        <v>2123700</v>
      </c>
      <c r="H168" s="4">
        <v>305300</v>
      </c>
      <c r="I168" s="4">
        <v>26200</v>
      </c>
      <c r="K168" s="4">
        <v>1034350</v>
      </c>
      <c r="L168" s="4">
        <v>852150</v>
      </c>
      <c r="M168" s="4">
        <f>Tabla1[[#This Row],[BASE DEL DIA]]+Tabla1[[#This Row],[ENTREGAS]]+Tabla1[[#This Row],[TARJETAS]]+Tabla1[[#This Row],[NEQUI O QR]]+Tabla1[[#This Row],[VENTAS FE.CREDITO]]-Tabla1[[#This Row],[VENTAS NETAS]]-Tabla1[[#This Row],[BASE ANTERIOR]]</f>
        <v>3400</v>
      </c>
    </row>
    <row r="169" spans="1:13" ht="13.5" customHeight="1" x14ac:dyDescent="0.2">
      <c r="A169" s="1">
        <v>6536</v>
      </c>
      <c r="B169" s="2">
        <v>45800</v>
      </c>
      <c r="C169" s="3" t="s">
        <v>154</v>
      </c>
      <c r="D169" s="1" t="s">
        <v>17</v>
      </c>
      <c r="E169" s="1" t="s">
        <v>23</v>
      </c>
      <c r="F169" s="4">
        <v>2718000</v>
      </c>
      <c r="G169" s="4">
        <v>2222100</v>
      </c>
      <c r="H169" s="4">
        <v>268600</v>
      </c>
      <c r="I169" s="4">
        <v>106800</v>
      </c>
      <c r="J169" s="4">
        <v>0</v>
      </c>
      <c r="K169" s="4">
        <v>852150</v>
      </c>
      <c r="L169" s="4">
        <v>731500</v>
      </c>
      <c r="M169" s="4">
        <f>Tabla1[[#This Row],[BASE DEL DIA]]+Tabla1[[#This Row],[ENTREGAS]]+Tabla1[[#This Row],[TARJETAS]]+Tabla1[[#This Row],[NEQUI O QR]]+Tabla1[[#This Row],[VENTAS FE.CREDITO]]-Tabla1[[#This Row],[VENTAS NETAS]]-Tabla1[[#This Row],[BASE ANTERIOR]]</f>
        <v>150</v>
      </c>
    </row>
    <row r="170" spans="1:13" ht="13.5" customHeight="1" x14ac:dyDescent="0.2">
      <c r="A170" s="1">
        <v>6535</v>
      </c>
      <c r="B170" s="2">
        <v>45800</v>
      </c>
      <c r="C170" s="3" t="s">
        <v>151</v>
      </c>
      <c r="D170" s="1" t="s">
        <v>180</v>
      </c>
      <c r="E170" s="1" t="s">
        <v>22</v>
      </c>
      <c r="F170" s="4">
        <v>2065500</v>
      </c>
      <c r="G170" s="4">
        <v>2071400</v>
      </c>
      <c r="H170" s="4">
        <v>138400</v>
      </c>
      <c r="I170" s="4">
        <v>23000</v>
      </c>
      <c r="K170" s="4">
        <v>731500</v>
      </c>
      <c r="L170" s="4">
        <v>896350</v>
      </c>
      <c r="M170" s="4">
        <f>Tabla1[[#This Row],[BASE DEL DIA]]+Tabla1[[#This Row],[ENTREGAS]]+Tabla1[[#This Row],[TARJETAS]]+Tabla1[[#This Row],[NEQUI O QR]]+Tabla1[[#This Row],[VENTAS FE.CREDITO]]-Tabla1[[#This Row],[VENTAS NETAS]]-Tabla1[[#This Row],[BASE ANTERIOR]]</f>
        <v>2450</v>
      </c>
    </row>
    <row r="171" spans="1:13" ht="13.5" customHeight="1" x14ac:dyDescent="0.2">
      <c r="A171" s="1">
        <v>6534</v>
      </c>
      <c r="B171" s="2">
        <v>45799</v>
      </c>
      <c r="C171" s="3" t="s">
        <v>66</v>
      </c>
      <c r="D171" s="1" t="s">
        <v>180</v>
      </c>
      <c r="E171" s="1" t="s">
        <v>23</v>
      </c>
      <c r="F171" s="4">
        <v>2601100</v>
      </c>
      <c r="G171" s="4">
        <v>2342000</v>
      </c>
      <c r="H171" s="4">
        <v>110200</v>
      </c>
      <c r="I171" s="4">
        <v>84200</v>
      </c>
      <c r="J171" s="4">
        <v>11500</v>
      </c>
      <c r="K171" s="4">
        <v>896350</v>
      </c>
      <c r="L171" s="4">
        <v>842400</v>
      </c>
      <c r="M171" s="4">
        <f>Tabla1[[#This Row],[BASE DEL DIA]]+Tabla1[[#This Row],[ENTREGAS]]+Tabla1[[#This Row],[TARJETAS]]+Tabla1[[#This Row],[NEQUI O QR]]+Tabla1[[#This Row],[VENTAS FE.CREDITO]]-Tabla1[[#This Row],[VENTAS NETAS]]-Tabla1[[#This Row],[BASE ANTERIOR]]</f>
        <v>750</v>
      </c>
    </row>
    <row r="172" spans="1:13" ht="13.5" customHeight="1" x14ac:dyDescent="0.2">
      <c r="A172" s="1">
        <v>6533</v>
      </c>
      <c r="B172" s="2">
        <v>45799</v>
      </c>
      <c r="C172" s="3" t="s">
        <v>67</v>
      </c>
      <c r="D172" s="1" t="s">
        <v>17</v>
      </c>
      <c r="E172" s="1" t="s">
        <v>23</v>
      </c>
      <c r="F172" s="4">
        <v>2567200</v>
      </c>
      <c r="G172" s="4">
        <v>2452250</v>
      </c>
      <c r="H172" s="4">
        <v>87100</v>
      </c>
      <c r="I172" s="4">
        <v>117400</v>
      </c>
      <c r="J172" s="4">
        <v>700</v>
      </c>
      <c r="K172" s="4">
        <v>842400</v>
      </c>
      <c r="L172" s="4">
        <v>929250</v>
      </c>
      <c r="M172" s="4">
        <f>Tabla1[[#This Row],[BASE DEL DIA]]+Tabla1[[#This Row],[ENTREGAS]]+Tabla1[[#This Row],[TARJETAS]]+Tabla1[[#This Row],[NEQUI O QR]]+Tabla1[[#This Row],[VENTAS FE.CREDITO]]-Tabla1[[#This Row],[VENTAS NETAS]]-Tabla1[[#This Row],[BASE ANTERIOR]]</f>
        <v>3400</v>
      </c>
    </row>
    <row r="173" spans="1:13" ht="13.5" customHeight="1" x14ac:dyDescent="0.2">
      <c r="A173" s="1">
        <v>6532</v>
      </c>
      <c r="B173" s="2">
        <v>45798</v>
      </c>
      <c r="C173" s="3" t="s">
        <v>107</v>
      </c>
      <c r="D173" s="1" t="s">
        <v>17</v>
      </c>
      <c r="E173" s="1" t="s">
        <v>23</v>
      </c>
      <c r="F173" s="4">
        <v>3825100</v>
      </c>
      <c r="G173" s="4">
        <v>3366900</v>
      </c>
      <c r="H173" s="4">
        <v>277300</v>
      </c>
      <c r="I173" s="4">
        <v>147700</v>
      </c>
      <c r="J173" s="4">
        <v>107700</v>
      </c>
      <c r="K173" s="4">
        <v>829250</v>
      </c>
      <c r="L173" s="4">
        <v>901350</v>
      </c>
      <c r="M173" s="4">
        <f>Tabla1[[#This Row],[BASE DEL DIA]]+Tabla1[[#This Row],[ENTREGAS]]+Tabla1[[#This Row],[TARJETAS]]+Tabla1[[#This Row],[NEQUI O QR]]+Tabla1[[#This Row],[VENTAS FE.CREDITO]]-Tabla1[[#This Row],[VENTAS NETAS]]-Tabla1[[#This Row],[BASE ANTERIOR]]</f>
        <v>2400</v>
      </c>
    </row>
    <row r="174" spans="1:13" ht="13.5" customHeight="1" x14ac:dyDescent="0.2">
      <c r="A174" s="1">
        <v>6531</v>
      </c>
      <c r="B174" s="2">
        <v>45798</v>
      </c>
      <c r="C174" s="3" t="s">
        <v>159</v>
      </c>
      <c r="D174" s="1" t="s">
        <v>180</v>
      </c>
      <c r="E174" s="1" t="s">
        <v>22</v>
      </c>
      <c r="F174" s="4">
        <v>2152100</v>
      </c>
      <c r="G174" s="4">
        <v>2103200</v>
      </c>
      <c r="H174" s="4">
        <v>41600</v>
      </c>
      <c r="I174" s="4">
        <v>60500</v>
      </c>
      <c r="J174" s="4">
        <v>901350</v>
      </c>
      <c r="L174" s="4">
        <v>950250</v>
      </c>
      <c r="M174" s="4">
        <f>Tabla1[[#This Row],[BASE DEL DIA]]+Tabla1[[#This Row],[ENTREGAS]]+Tabla1[[#This Row],[TARJETAS]]+Tabla1[[#This Row],[NEQUI O QR]]+Tabla1[[#This Row],[VENTAS FE.CREDITO]]-Tabla1[[#This Row],[VENTAS NETAS]]-Tabla1[[#This Row],[BASE ANTERIOR]]</f>
        <v>4300</v>
      </c>
    </row>
    <row r="175" spans="1:13" ht="13.5" customHeight="1" x14ac:dyDescent="0.2">
      <c r="A175" s="1">
        <v>6530</v>
      </c>
      <c r="B175" s="2">
        <v>45797</v>
      </c>
      <c r="C175" s="3" t="s">
        <v>72</v>
      </c>
      <c r="D175" s="1" t="s">
        <v>180</v>
      </c>
      <c r="E175" s="1" t="s">
        <v>23</v>
      </c>
      <c r="F175" s="4">
        <v>4133400</v>
      </c>
      <c r="G175" s="4">
        <v>3320000</v>
      </c>
      <c r="H175" s="4">
        <v>278200</v>
      </c>
      <c r="I175" s="4">
        <v>350400</v>
      </c>
      <c r="J175" s="4">
        <v>67800</v>
      </c>
      <c r="K175" s="4">
        <v>950250</v>
      </c>
      <c r="L175" s="4">
        <v>831450</v>
      </c>
      <c r="M175" s="4">
        <f>Tabla1[[#This Row],[BASE DEL DIA]]+Tabla1[[#This Row],[ENTREGAS]]+Tabla1[[#This Row],[TARJETAS]]+Tabla1[[#This Row],[NEQUI O QR]]+Tabla1[[#This Row],[VENTAS FE.CREDITO]]-Tabla1[[#This Row],[VENTAS NETAS]]-Tabla1[[#This Row],[BASE ANTERIOR]]</f>
        <v>1800</v>
      </c>
    </row>
    <row r="176" spans="1:13" ht="13.5" customHeight="1" x14ac:dyDescent="0.2">
      <c r="A176" s="1">
        <v>6530</v>
      </c>
      <c r="B176" s="2">
        <v>45797</v>
      </c>
      <c r="C176" s="3" t="s">
        <v>64</v>
      </c>
      <c r="D176" s="1" t="s">
        <v>17</v>
      </c>
      <c r="E176" s="1" t="s">
        <v>22</v>
      </c>
      <c r="F176" s="4">
        <v>2289300</v>
      </c>
      <c r="G176" s="4">
        <v>2093600</v>
      </c>
      <c r="H176" s="4">
        <v>84200</v>
      </c>
      <c r="I176" s="4">
        <v>117800</v>
      </c>
      <c r="J176" s="4">
        <v>65500</v>
      </c>
      <c r="K176" s="4">
        <v>831450</v>
      </c>
      <c r="L176" s="4">
        <v>902750</v>
      </c>
      <c r="M176" s="4">
        <f>Tabla1[[#This Row],[BASE DEL DIA]]+Tabla1[[#This Row],[ENTREGAS]]+Tabla1[[#This Row],[TARJETAS]]+Tabla1[[#This Row],[NEQUI O QR]]+Tabla1[[#This Row],[VENTAS FE.CREDITO]]-Tabla1[[#This Row],[VENTAS NETAS]]-Tabla1[[#This Row],[BASE ANTERIOR]]</f>
        <v>500</v>
      </c>
    </row>
    <row r="177" spans="1:13" ht="13.5" customHeight="1" x14ac:dyDescent="0.2">
      <c r="A177" s="1">
        <v>6529</v>
      </c>
      <c r="B177" s="2">
        <v>45796</v>
      </c>
      <c r="C177" s="3" t="s">
        <v>66</v>
      </c>
      <c r="D177" s="1" t="s">
        <v>17</v>
      </c>
      <c r="E177" s="1" t="s">
        <v>23</v>
      </c>
      <c r="F177" s="4">
        <v>5151400</v>
      </c>
      <c r="G177" s="4">
        <v>4400000</v>
      </c>
      <c r="H177" s="4">
        <v>392600</v>
      </c>
      <c r="I177" s="4">
        <v>293500</v>
      </c>
      <c r="J177" s="4">
        <v>9100</v>
      </c>
      <c r="K177" s="4">
        <v>902750</v>
      </c>
      <c r="L177" s="4">
        <v>867300</v>
      </c>
      <c r="M177" s="4">
        <f>Tabla1[[#This Row],[BASE DEL DIA]]+Tabla1[[#This Row],[ENTREGAS]]+Tabla1[[#This Row],[TARJETAS]]+Tabla1[[#This Row],[NEQUI O QR]]+Tabla1[[#This Row],[VENTAS FE.CREDITO]]-Tabla1[[#This Row],[VENTAS NETAS]]-Tabla1[[#This Row],[BASE ANTERIOR]]</f>
        <v>-20750</v>
      </c>
    </row>
    <row r="178" spans="1:13" ht="13.5" customHeight="1" x14ac:dyDescent="0.2">
      <c r="A178" s="1">
        <v>6528</v>
      </c>
      <c r="B178" s="2">
        <v>45796</v>
      </c>
      <c r="C178" s="3" t="s">
        <v>129</v>
      </c>
      <c r="D178" s="1" t="s">
        <v>180</v>
      </c>
      <c r="E178" s="1" t="s">
        <v>22</v>
      </c>
      <c r="F178" s="4">
        <v>2240600</v>
      </c>
      <c r="G178" s="4">
        <v>2019700</v>
      </c>
      <c r="H178" s="4">
        <v>97000</v>
      </c>
      <c r="I178" s="4">
        <v>40200</v>
      </c>
      <c r="K178" s="4">
        <v>867300</v>
      </c>
      <c r="L178" s="4">
        <v>780700</v>
      </c>
      <c r="M178" s="4">
        <f>Tabla1[[#This Row],[BASE DEL DIA]]+Tabla1[[#This Row],[ENTREGAS]]+Tabla1[[#This Row],[TARJETAS]]+Tabla1[[#This Row],[NEQUI O QR]]+Tabla1[[#This Row],[VENTAS FE.CREDITO]]-Tabla1[[#This Row],[VENTAS NETAS]]-Tabla1[[#This Row],[BASE ANTERIOR]]</f>
        <v>2900</v>
      </c>
    </row>
    <row r="179" spans="1:13" ht="13.5" customHeight="1" x14ac:dyDescent="0.2">
      <c r="B179" s="2">
        <v>45795</v>
      </c>
      <c r="C179" s="3" t="s">
        <v>193</v>
      </c>
      <c r="D179" s="1" t="s">
        <v>133</v>
      </c>
      <c r="E179" s="1" t="s">
        <v>22</v>
      </c>
      <c r="F179" s="4">
        <v>4077150</v>
      </c>
      <c r="G179" s="4">
        <v>3572000</v>
      </c>
      <c r="H179" s="4">
        <v>290000</v>
      </c>
      <c r="I179" s="4">
        <v>322400</v>
      </c>
      <c r="J179" s="4">
        <v>15700</v>
      </c>
      <c r="K179" s="4">
        <v>780700</v>
      </c>
      <c r="L179" s="4">
        <v>902450</v>
      </c>
      <c r="M179" s="4">
        <f>Tabla1[[#This Row],[BASE DEL DIA]]+Tabla1[[#This Row],[ENTREGAS]]+Tabla1[[#This Row],[TARJETAS]]+Tabla1[[#This Row],[NEQUI O QR]]+Tabla1[[#This Row],[VENTAS FE.CREDITO]]-Tabla1[[#This Row],[VENTAS NETAS]]-Tabla1[[#This Row],[BASE ANTERIOR]]</f>
        <v>1200</v>
      </c>
    </row>
    <row r="180" spans="1:13" ht="13.5" customHeight="1" x14ac:dyDescent="0.2">
      <c r="A180" s="1">
        <v>6526</v>
      </c>
      <c r="B180" s="2">
        <v>45795</v>
      </c>
      <c r="C180" s="3" t="s">
        <v>62</v>
      </c>
      <c r="D180" s="1" t="s">
        <v>18</v>
      </c>
      <c r="E180" s="1" t="s">
        <v>22</v>
      </c>
      <c r="F180" s="4">
        <v>4456200</v>
      </c>
      <c r="G180" s="4">
        <v>3986900</v>
      </c>
      <c r="H180" s="4">
        <v>399100</v>
      </c>
      <c r="I180" s="4">
        <v>174200</v>
      </c>
      <c r="K180" s="4">
        <v>902450</v>
      </c>
      <c r="L180" s="4">
        <v>1010200</v>
      </c>
      <c r="M180" s="4">
        <f>Tabla1[[#This Row],[BASE DEL DIA]]+Tabla1[[#This Row],[ENTREGAS]]+Tabla1[[#This Row],[TARJETAS]]+Tabla1[[#This Row],[NEQUI O QR]]+Tabla1[[#This Row],[VENTAS FE.CREDITO]]-Tabla1[[#This Row],[VENTAS NETAS]]-Tabla1[[#This Row],[BASE ANTERIOR]]</f>
        <v>-3750</v>
      </c>
    </row>
    <row r="181" spans="1:13" ht="13.5" customHeight="1" x14ac:dyDescent="0.2">
      <c r="B181" s="2">
        <v>45794</v>
      </c>
      <c r="C181" s="3" t="s">
        <v>160</v>
      </c>
      <c r="D181" s="1" t="s">
        <v>16</v>
      </c>
      <c r="E181" s="1" t="s">
        <v>22</v>
      </c>
      <c r="F181" s="4">
        <v>5669950</v>
      </c>
      <c r="G181" s="4">
        <v>5040000</v>
      </c>
      <c r="H181" s="4">
        <v>414200</v>
      </c>
      <c r="I181" s="4">
        <v>36300</v>
      </c>
      <c r="J181" s="4">
        <v>0</v>
      </c>
      <c r="K181" s="4">
        <v>1010200</v>
      </c>
      <c r="L181" s="4">
        <v>822300</v>
      </c>
      <c r="M181" s="4">
        <f>Tabla1[[#This Row],[BASE DEL DIA]]+Tabla1[[#This Row],[ENTREGAS]]+Tabla1[[#This Row],[TARJETAS]]+Tabla1[[#This Row],[NEQUI O QR]]+Tabla1[[#This Row],[VENTAS FE.CREDITO]]-Tabla1[[#This Row],[VENTAS NETAS]]-Tabla1[[#This Row],[BASE ANTERIOR]]</f>
        <v>8450</v>
      </c>
    </row>
    <row r="182" spans="1:13" ht="13.5" customHeight="1" x14ac:dyDescent="0.2">
      <c r="A182" s="1">
        <v>6524</v>
      </c>
      <c r="B182" s="2">
        <v>45794</v>
      </c>
      <c r="C182" s="3" t="s">
        <v>140</v>
      </c>
      <c r="D182" s="1" t="s">
        <v>16</v>
      </c>
      <c r="E182" s="1" t="s">
        <v>22</v>
      </c>
      <c r="F182" s="4">
        <v>4069600</v>
      </c>
      <c r="G182" s="4">
        <v>3921200</v>
      </c>
      <c r="H182" s="4">
        <v>162000</v>
      </c>
      <c r="I182" s="4">
        <v>78100</v>
      </c>
      <c r="J182" s="4">
        <v>42600</v>
      </c>
      <c r="K182" s="4">
        <v>822300</v>
      </c>
      <c r="L182" s="4">
        <v>952550</v>
      </c>
      <c r="M182" s="4">
        <f>Tabla1[[#This Row],[BASE DEL DIA]]+Tabla1[[#This Row],[ENTREGAS]]+Tabla1[[#This Row],[TARJETAS]]+Tabla1[[#This Row],[NEQUI O QR]]+Tabla1[[#This Row],[VENTAS FE.CREDITO]]-Tabla1[[#This Row],[VENTAS NETAS]]-Tabla1[[#This Row],[BASE ANTERIOR]]</f>
        <v>4050</v>
      </c>
    </row>
    <row r="183" spans="1:13" ht="13.5" customHeight="1" x14ac:dyDescent="0.2">
      <c r="A183" s="1">
        <v>6523</v>
      </c>
      <c r="B183" s="2">
        <v>45793</v>
      </c>
      <c r="C183" s="3" t="s">
        <v>106</v>
      </c>
      <c r="D183" s="1" t="s">
        <v>16</v>
      </c>
      <c r="E183" s="1" t="s">
        <v>23</v>
      </c>
      <c r="F183" s="4">
        <v>4484300</v>
      </c>
      <c r="G183" s="4">
        <v>4090000</v>
      </c>
      <c r="H183" s="4">
        <v>233800</v>
      </c>
      <c r="I183" s="4">
        <v>59000</v>
      </c>
      <c r="J183" s="4">
        <v>25000</v>
      </c>
      <c r="K183" s="4">
        <v>952550</v>
      </c>
      <c r="L183" s="4">
        <v>866050</v>
      </c>
      <c r="M183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10000</v>
      </c>
    </row>
    <row r="184" spans="1:13" ht="13.5" customHeight="1" x14ac:dyDescent="0.2">
      <c r="A184" s="1">
        <v>6522</v>
      </c>
      <c r="B184" s="2">
        <v>45793</v>
      </c>
      <c r="C184" s="3" t="s">
        <v>116</v>
      </c>
      <c r="D184" s="1" t="s">
        <v>18</v>
      </c>
      <c r="E184" s="1" t="s">
        <v>22</v>
      </c>
      <c r="F184" s="4">
        <v>2937600</v>
      </c>
      <c r="G184" s="4">
        <v>2794050</v>
      </c>
      <c r="H184" s="4">
        <v>81400</v>
      </c>
      <c r="I184" s="4">
        <v>20300</v>
      </c>
      <c r="J184" s="4">
        <v>28900</v>
      </c>
      <c r="K184" s="4">
        <v>866050</v>
      </c>
      <c r="L184" s="4">
        <v>852200</v>
      </c>
      <c r="M184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185" spans="1:13" ht="13.5" customHeight="1" x14ac:dyDescent="0.2">
      <c r="A185" s="1">
        <v>6521</v>
      </c>
      <c r="B185" s="2">
        <v>45792</v>
      </c>
      <c r="C185" s="3" t="s">
        <v>130</v>
      </c>
      <c r="D185" s="1" t="s">
        <v>18</v>
      </c>
      <c r="E185" s="1" t="s">
        <v>22</v>
      </c>
      <c r="F185" s="4">
        <v>4309650</v>
      </c>
      <c r="G185" s="4">
        <v>3820000</v>
      </c>
      <c r="H185" s="4">
        <v>404000</v>
      </c>
      <c r="I185" s="4">
        <v>221600</v>
      </c>
      <c r="J185" s="4">
        <v>0</v>
      </c>
      <c r="K185" s="4">
        <v>852200</v>
      </c>
      <c r="L185" s="4">
        <v>987750</v>
      </c>
      <c r="M185" s="4">
        <f>Tabla1[[#This Row],[BASE DEL DIA]]+Tabla1[[#This Row],[ENTREGAS]]+Tabla1[[#This Row],[TARJETAS]]+Tabla1[[#This Row],[NEQUI O QR]]+Tabla1[[#This Row],[VENTAS FE.CREDITO]]-Tabla1[[#This Row],[VENTAS NETAS]]-Tabla1[[#This Row],[BASE ANTERIOR]]</f>
        <v>400</v>
      </c>
    </row>
    <row r="186" spans="1:13" ht="13.5" customHeight="1" x14ac:dyDescent="0.2">
      <c r="A186" s="1">
        <v>6520</v>
      </c>
      <c r="B186" s="2">
        <v>45792</v>
      </c>
      <c r="C186" s="3" t="s">
        <v>162</v>
      </c>
      <c r="D186" s="1" t="s">
        <v>16</v>
      </c>
      <c r="E186" s="1" t="s">
        <v>23</v>
      </c>
      <c r="F186" s="4">
        <v>2302400</v>
      </c>
      <c r="G186" s="4">
        <v>2062900</v>
      </c>
      <c r="H186" s="4">
        <v>53800</v>
      </c>
      <c r="I186" s="4">
        <v>44500</v>
      </c>
      <c r="J186" s="4">
        <v>0</v>
      </c>
      <c r="K186" s="4">
        <v>987750</v>
      </c>
      <c r="L186" s="4">
        <v>840700</v>
      </c>
      <c r="M186" s="4">
        <f>Tabla1[[#This Row],[BASE DEL DIA]]+Tabla1[[#This Row],[ENTREGAS]]+Tabla1[[#This Row],[TARJETAS]]+Tabla1[[#This Row],[NEQUI O QR]]+Tabla1[[#This Row],[VENTAS FE.CREDITO]]-Tabla1[[#This Row],[VENTAS NETAS]]-Tabla1[[#This Row],[BASE ANTERIOR]]</f>
        <v>5850</v>
      </c>
    </row>
    <row r="187" spans="1:13" ht="13.5" customHeight="1" x14ac:dyDescent="0.2">
      <c r="A187" s="1">
        <v>6519</v>
      </c>
      <c r="B187" s="2">
        <v>45791</v>
      </c>
      <c r="C187" s="3" t="s">
        <v>130</v>
      </c>
      <c r="D187" s="1" t="s">
        <v>16</v>
      </c>
      <c r="E187" s="1" t="s">
        <v>23</v>
      </c>
      <c r="F187" s="4">
        <v>3332200</v>
      </c>
      <c r="G187" s="4">
        <v>2995900</v>
      </c>
      <c r="H187" s="4">
        <v>221800</v>
      </c>
      <c r="I187" s="4">
        <v>123300</v>
      </c>
      <c r="J187" s="4">
        <v>52300</v>
      </c>
      <c r="K187" s="4">
        <v>840700</v>
      </c>
      <c r="L187" s="4">
        <v>858800</v>
      </c>
      <c r="M187" s="4">
        <f>Tabla1[[#This Row],[BASE DEL DIA]]+Tabla1[[#This Row],[ENTREGAS]]+Tabla1[[#This Row],[TARJETAS]]+Tabla1[[#This Row],[NEQUI O QR]]+Tabla1[[#This Row],[VENTAS FE.CREDITO]]-Tabla1[[#This Row],[VENTAS NETAS]]-Tabla1[[#This Row],[BASE ANTERIOR]]</f>
        <v>43000</v>
      </c>
    </row>
    <row r="188" spans="1:13" ht="13.5" customHeight="1" x14ac:dyDescent="0.2">
      <c r="A188" s="1">
        <v>6518</v>
      </c>
      <c r="B188" s="2">
        <v>45791</v>
      </c>
      <c r="C188" s="3" t="s">
        <v>39</v>
      </c>
      <c r="D188" s="1" t="s">
        <v>18</v>
      </c>
      <c r="E188" s="1" t="s">
        <v>22</v>
      </c>
      <c r="F188" s="4">
        <v>2393750</v>
      </c>
      <c r="G188" s="4">
        <v>2363100</v>
      </c>
      <c r="H188" s="4">
        <v>100800</v>
      </c>
      <c r="I188" s="4">
        <v>42500</v>
      </c>
      <c r="J188" s="4">
        <v>8800</v>
      </c>
      <c r="K188" s="4">
        <v>858800</v>
      </c>
      <c r="L188" s="4">
        <v>978000</v>
      </c>
      <c r="M188" s="4">
        <f>Tabla1[[#This Row],[BASE DEL DIA]]+Tabla1[[#This Row],[ENTREGAS]]+Tabla1[[#This Row],[TARJETAS]]+Tabla1[[#This Row],[NEQUI O QR]]+Tabla1[[#This Row],[VENTAS FE.CREDITO]]-Tabla1[[#This Row],[VENTAS NETAS]]-Tabla1[[#This Row],[BASE ANTERIOR]]</f>
        <v>2250</v>
      </c>
    </row>
    <row r="189" spans="1:13" ht="13.5" customHeight="1" x14ac:dyDescent="0.2">
      <c r="A189" s="1">
        <v>6517</v>
      </c>
      <c r="B189" s="2">
        <v>45790</v>
      </c>
      <c r="C189" s="3" t="s">
        <v>66</v>
      </c>
      <c r="D189" s="1" t="s">
        <v>18</v>
      </c>
      <c r="E189" s="1" t="s">
        <v>23</v>
      </c>
      <c r="F189" s="4">
        <v>3830700</v>
      </c>
      <c r="G189" s="4">
        <v>3500000</v>
      </c>
      <c r="H189" s="4">
        <v>147700</v>
      </c>
      <c r="I189" s="4">
        <v>56600</v>
      </c>
      <c r="J189" s="4">
        <v>0</v>
      </c>
      <c r="K189" s="4">
        <v>978000</v>
      </c>
      <c r="L189" s="4">
        <v>850550</v>
      </c>
      <c r="M189" s="4">
        <f>Tabla1[[#This Row],[BASE DEL DIA]]+Tabla1[[#This Row],[ENTREGAS]]+Tabla1[[#This Row],[TARJETAS]]+Tabla1[[#This Row],[NEQUI O QR]]+Tabla1[[#This Row],[VENTAS FE.CREDITO]]-Tabla1[[#This Row],[VENTAS NETAS]]-Tabla1[[#This Row],[BASE ANTERIOR]]</f>
        <v>1050</v>
      </c>
    </row>
    <row r="190" spans="1:13" ht="13.5" customHeight="1" x14ac:dyDescent="0.2">
      <c r="A190" s="1">
        <v>6516</v>
      </c>
      <c r="B190" s="2">
        <v>45790</v>
      </c>
      <c r="C190" s="3" t="s">
        <v>81</v>
      </c>
      <c r="D190" s="1" t="s">
        <v>19</v>
      </c>
      <c r="E190" s="1" t="s">
        <v>22</v>
      </c>
      <c r="F190" s="4">
        <v>2018500</v>
      </c>
      <c r="G190" s="4">
        <v>1974100</v>
      </c>
      <c r="H190" s="4">
        <v>110300</v>
      </c>
      <c r="I190" s="4">
        <v>550</v>
      </c>
      <c r="K190" s="4">
        <v>850550</v>
      </c>
      <c r="L190" s="4">
        <v>873050</v>
      </c>
      <c r="M190" s="4">
        <f>Tabla1[[#This Row],[BASE DEL DIA]]+Tabla1[[#This Row],[ENTREGAS]]+Tabla1[[#This Row],[TARJETAS]]+Tabla1[[#This Row],[NEQUI O QR]]+Tabla1[[#This Row],[VENTAS FE.CREDITO]]-Tabla1[[#This Row],[VENTAS NETAS]]-Tabla1[[#This Row],[BASE ANTERIOR]]</f>
        <v>43950</v>
      </c>
    </row>
    <row r="191" spans="1:13" ht="13.5" customHeight="1" x14ac:dyDescent="0.2">
      <c r="A191" s="1">
        <v>6515</v>
      </c>
      <c r="B191" s="2">
        <v>45789</v>
      </c>
      <c r="C191" s="3" t="s">
        <v>107</v>
      </c>
      <c r="D191" s="1" t="s">
        <v>16</v>
      </c>
      <c r="E191" s="1" t="s">
        <v>23</v>
      </c>
      <c r="F191" s="4">
        <v>4436500</v>
      </c>
      <c r="G191" s="4">
        <v>3904400</v>
      </c>
      <c r="H191" s="4">
        <v>376000</v>
      </c>
      <c r="I191" s="4">
        <v>158400</v>
      </c>
      <c r="J191" s="4">
        <v>0</v>
      </c>
      <c r="K191" s="4">
        <v>873050</v>
      </c>
      <c r="L191" s="4">
        <v>874350</v>
      </c>
      <c r="M191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</v>
      </c>
    </row>
    <row r="192" spans="1:13" ht="13.5" customHeight="1" x14ac:dyDescent="0.2">
      <c r="A192" s="1">
        <v>6514</v>
      </c>
      <c r="B192" s="2">
        <v>45789</v>
      </c>
      <c r="C192" s="3" t="s">
        <v>88</v>
      </c>
      <c r="D192" s="1" t="s">
        <v>18</v>
      </c>
      <c r="E192" s="1" t="s">
        <v>22</v>
      </c>
      <c r="F192" s="4">
        <v>3168000</v>
      </c>
      <c r="G192" s="4">
        <v>2841300</v>
      </c>
      <c r="H192" s="4">
        <v>84600</v>
      </c>
      <c r="I192" s="4">
        <v>31900</v>
      </c>
      <c r="K192" s="4">
        <v>874350</v>
      </c>
      <c r="L192" s="4">
        <v>663200</v>
      </c>
      <c r="M192" s="4">
        <f>Tabla1[[#This Row],[BASE DEL DIA]]+Tabla1[[#This Row],[ENTREGAS]]+Tabla1[[#This Row],[TARJETAS]]+Tabla1[[#This Row],[NEQUI O QR]]+Tabla1[[#This Row],[VENTAS FE.CREDITO]]-Tabla1[[#This Row],[VENTAS NETAS]]-Tabla1[[#This Row],[BASE ANTERIOR]]</f>
        <v>950</v>
      </c>
    </row>
    <row r="193" spans="1:13" ht="13.5" customHeight="1" x14ac:dyDescent="0.2">
      <c r="B193" s="2">
        <v>45789</v>
      </c>
      <c r="C193" s="3" t="s">
        <v>192</v>
      </c>
      <c r="D193" s="1" t="s">
        <v>19</v>
      </c>
      <c r="E193" s="1" t="s">
        <v>23</v>
      </c>
      <c r="F193" s="4">
        <v>3625000</v>
      </c>
      <c r="G193" s="4">
        <v>3630000</v>
      </c>
      <c r="H193" s="4">
        <v>97200</v>
      </c>
      <c r="I193" s="4">
        <v>55100</v>
      </c>
      <c r="J193" s="4">
        <v>4600</v>
      </c>
      <c r="K193" s="4">
        <v>663200</v>
      </c>
      <c r="L193" s="4">
        <v>840850</v>
      </c>
      <c r="M193" s="4">
        <f>Tabla1[[#This Row],[BASE DEL DIA]]+Tabla1[[#This Row],[ENTREGAS]]+Tabla1[[#This Row],[TARJETAS]]+Tabla1[[#This Row],[NEQUI O QR]]+Tabla1[[#This Row],[VENTAS FE.CREDITO]]-Tabla1[[#This Row],[VENTAS NETAS]]-Tabla1[[#This Row],[BASE ANTERIOR]]</f>
        <v>-15750</v>
      </c>
    </row>
    <row r="194" spans="1:13" ht="13.5" customHeight="1" x14ac:dyDescent="0.2">
      <c r="A194" s="1">
        <v>6512</v>
      </c>
      <c r="B194" s="2">
        <v>45788</v>
      </c>
      <c r="C194" s="3" t="s">
        <v>191</v>
      </c>
      <c r="D194" s="1" t="s">
        <v>180</v>
      </c>
      <c r="E194" s="1" t="s">
        <v>22</v>
      </c>
      <c r="F194" s="4">
        <v>3509700</v>
      </c>
      <c r="G194" s="4">
        <v>3416700</v>
      </c>
      <c r="H194" s="4">
        <v>105100</v>
      </c>
      <c r="I194" s="4">
        <v>76100</v>
      </c>
      <c r="K194" s="4">
        <v>840850</v>
      </c>
      <c r="L194" s="4">
        <v>926300</v>
      </c>
      <c r="M194" s="4">
        <f>Tabla1[[#This Row],[BASE DEL DIA]]+Tabla1[[#This Row],[ENTREGAS]]+Tabla1[[#This Row],[TARJETAS]]+Tabla1[[#This Row],[NEQUI O QR]]+Tabla1[[#This Row],[VENTAS FE.CREDITO]]-Tabla1[[#This Row],[VENTAS NETAS]]-Tabla1[[#This Row],[BASE ANTERIOR]]</f>
        <v>2750</v>
      </c>
    </row>
    <row r="195" spans="1:13" ht="13.5" customHeight="1" x14ac:dyDescent="0.2">
      <c r="A195" s="1">
        <v>6511</v>
      </c>
      <c r="B195" s="2">
        <v>45788</v>
      </c>
      <c r="C195" s="3" t="s">
        <v>190</v>
      </c>
      <c r="D195" s="1" t="s">
        <v>180</v>
      </c>
      <c r="E195" s="1" t="s">
        <v>23</v>
      </c>
      <c r="F195" s="4">
        <v>3966500</v>
      </c>
      <c r="G195" s="4">
        <v>3600000</v>
      </c>
      <c r="H195" s="4">
        <v>337700</v>
      </c>
      <c r="I195" s="4">
        <v>28500</v>
      </c>
      <c r="J195" s="4">
        <v>14900</v>
      </c>
      <c r="K195" s="4">
        <v>926300</v>
      </c>
      <c r="L195" s="4">
        <v>940900</v>
      </c>
      <c r="M195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196" spans="1:13" ht="13.5" customHeight="1" x14ac:dyDescent="0.2">
      <c r="A196" s="1">
        <v>6510</v>
      </c>
      <c r="B196" s="2">
        <v>45787</v>
      </c>
      <c r="C196" s="3" t="s">
        <v>86</v>
      </c>
      <c r="D196" s="1" t="s">
        <v>17</v>
      </c>
      <c r="E196" s="1" t="s">
        <v>22</v>
      </c>
      <c r="F196" s="4">
        <v>2799100</v>
      </c>
      <c r="G196" s="4">
        <v>2522900</v>
      </c>
      <c r="H196" s="4">
        <v>127000</v>
      </c>
      <c r="I196" s="4">
        <v>17500</v>
      </c>
      <c r="K196" s="4">
        <v>940900</v>
      </c>
      <c r="L196" s="4">
        <v>807600</v>
      </c>
      <c r="M196" s="4">
        <f>Tabla1[[#This Row],[BASE DEL DIA]]+Tabla1[[#This Row],[ENTREGAS]]+Tabla1[[#This Row],[TARJETAS]]+Tabla1[[#This Row],[NEQUI O QR]]+Tabla1[[#This Row],[VENTAS FE.CREDITO]]-Tabla1[[#This Row],[VENTAS NETAS]]-Tabla1[[#This Row],[BASE ANTERIOR]]</f>
        <v>1600</v>
      </c>
    </row>
    <row r="197" spans="1:13" ht="13.5" customHeight="1" x14ac:dyDescent="0.2">
      <c r="A197" s="1">
        <v>6509</v>
      </c>
      <c r="B197" s="2">
        <v>45786</v>
      </c>
      <c r="C197" s="3" t="s">
        <v>130</v>
      </c>
      <c r="D197" s="1" t="s">
        <v>17</v>
      </c>
      <c r="E197" s="1" t="s">
        <v>23</v>
      </c>
      <c r="F197" s="4">
        <v>3838500</v>
      </c>
      <c r="G197" s="4">
        <v>3437900</v>
      </c>
      <c r="H197" s="4">
        <v>346200</v>
      </c>
      <c r="I197" s="4">
        <v>35500</v>
      </c>
      <c r="J197" s="4">
        <v>25900</v>
      </c>
      <c r="K197" s="4">
        <v>807600</v>
      </c>
      <c r="L197" s="4">
        <v>823400</v>
      </c>
      <c r="M197" s="4">
        <f>Tabla1[[#This Row],[BASE DEL DIA]]+Tabla1[[#This Row],[ENTREGAS]]+Tabla1[[#This Row],[TARJETAS]]+Tabla1[[#This Row],[NEQUI O QR]]+Tabla1[[#This Row],[VENTAS FE.CREDITO]]-Tabla1[[#This Row],[VENTAS NETAS]]-Tabla1[[#This Row],[BASE ANTERIOR]]</f>
        <v>-8800</v>
      </c>
    </row>
    <row r="198" spans="1:13" ht="13.5" customHeight="1" x14ac:dyDescent="0.2">
      <c r="B198" s="2">
        <v>45786</v>
      </c>
      <c r="C198" s="3" t="s">
        <v>64</v>
      </c>
      <c r="D198" s="1" t="s">
        <v>180</v>
      </c>
      <c r="E198" s="1" t="s">
        <v>23</v>
      </c>
      <c r="F198" s="4">
        <v>2375799</v>
      </c>
      <c r="G198" s="4">
        <v>2320500</v>
      </c>
      <c r="H198" s="4">
        <v>88600</v>
      </c>
      <c r="K198" s="4">
        <v>823400</v>
      </c>
      <c r="L198" s="4">
        <v>846600</v>
      </c>
      <c r="M198" s="4">
        <f>Tabla1[[#This Row],[BASE DEL DIA]]+Tabla1[[#This Row],[ENTREGAS]]+Tabla1[[#This Row],[TARJETAS]]+Tabla1[[#This Row],[NEQUI O QR]]+Tabla1[[#This Row],[VENTAS FE.CREDITO]]-Tabla1[[#This Row],[VENTAS NETAS]]-Tabla1[[#This Row],[BASE ANTERIOR]]</f>
        <v>10101</v>
      </c>
    </row>
    <row r="199" spans="1:13" ht="13.5" customHeight="1" x14ac:dyDescent="0.2">
      <c r="A199" s="1">
        <v>6507</v>
      </c>
      <c r="B199" s="2">
        <v>45786</v>
      </c>
      <c r="C199" s="3" t="s">
        <v>186</v>
      </c>
      <c r="D199" s="1" t="s">
        <v>180</v>
      </c>
      <c r="E199" s="1" t="s">
        <v>23</v>
      </c>
      <c r="F199" s="4">
        <v>2580900</v>
      </c>
      <c r="G199" s="4">
        <v>2395000</v>
      </c>
      <c r="H199" s="4">
        <v>106700</v>
      </c>
      <c r="I199" s="4">
        <v>44800</v>
      </c>
      <c r="J199" s="4">
        <v>43800</v>
      </c>
      <c r="K199" s="4">
        <v>846600</v>
      </c>
      <c r="L199" s="4">
        <v>851550</v>
      </c>
      <c r="M199" s="4">
        <f>Tabla1[[#This Row],[BASE DEL DIA]]+Tabla1[[#This Row],[ENTREGAS]]+Tabla1[[#This Row],[TARJETAS]]+Tabla1[[#This Row],[NEQUI O QR]]+Tabla1[[#This Row],[VENTAS FE.CREDITO]]-Tabla1[[#This Row],[VENTAS NETAS]]-Tabla1[[#This Row],[BASE ANTERIOR]]</f>
        <v>4450</v>
      </c>
    </row>
    <row r="200" spans="1:13" ht="13.5" customHeight="1" x14ac:dyDescent="0.2">
      <c r="B200" s="2">
        <v>45785</v>
      </c>
      <c r="C200" s="3" t="s">
        <v>53</v>
      </c>
      <c r="D200" s="1" t="s">
        <v>17</v>
      </c>
      <c r="E200" s="1" t="s">
        <v>23</v>
      </c>
      <c r="F200" s="4">
        <v>2436300</v>
      </c>
      <c r="G200" s="4">
        <v>2266600</v>
      </c>
      <c r="H200" s="4">
        <v>33500</v>
      </c>
      <c r="I200" s="4">
        <v>81400</v>
      </c>
      <c r="K200" s="4">
        <v>851550</v>
      </c>
      <c r="L200" s="4">
        <v>794100</v>
      </c>
      <c r="M200" s="4">
        <f>Tabla1[[#This Row],[BASE DEL DIA]]+Tabla1[[#This Row],[ENTREGAS]]+Tabla1[[#This Row],[TARJETAS]]+Tabla1[[#This Row],[NEQUI O QR]]+Tabla1[[#This Row],[VENTAS FE.CREDITO]]-Tabla1[[#This Row],[VENTAS NETAS]]-Tabla1[[#This Row],[BASE ANTERIOR]]</f>
        <v>2650</v>
      </c>
    </row>
    <row r="201" spans="1:13" ht="13.5" customHeight="1" x14ac:dyDescent="0.2">
      <c r="A201" s="1">
        <v>6505</v>
      </c>
      <c r="B201" s="2">
        <v>45784</v>
      </c>
      <c r="C201" s="3" t="s">
        <v>107</v>
      </c>
      <c r="D201" s="1" t="s">
        <v>17</v>
      </c>
      <c r="E201" s="1" t="s">
        <v>23</v>
      </c>
      <c r="F201" s="4">
        <v>4188700</v>
      </c>
      <c r="G201" s="4">
        <v>3941400</v>
      </c>
      <c r="H201" s="4">
        <v>282900</v>
      </c>
      <c r="I201" s="4">
        <v>75700</v>
      </c>
      <c r="K201" s="4">
        <v>794100</v>
      </c>
      <c r="L201" s="4">
        <v>802850</v>
      </c>
      <c r="M201" s="4">
        <f>Tabla1[[#This Row],[BASE DEL DIA]]+Tabla1[[#This Row],[ENTREGAS]]+Tabla1[[#This Row],[TARJETAS]]+Tabla1[[#This Row],[NEQUI O QR]]+Tabla1[[#This Row],[VENTAS FE.CREDITO]]-Tabla1[[#This Row],[VENTAS NETAS]]-Tabla1[[#This Row],[BASE ANTERIOR]]</f>
        <v>102550</v>
      </c>
    </row>
    <row r="202" spans="1:13" ht="13.5" customHeight="1" x14ac:dyDescent="0.2">
      <c r="A202" s="1">
        <v>6504</v>
      </c>
      <c r="B202" s="2">
        <v>45784</v>
      </c>
      <c r="C202" s="3" t="s">
        <v>74</v>
      </c>
      <c r="D202" s="1" t="s">
        <v>180</v>
      </c>
      <c r="E202" s="1" t="s">
        <v>22</v>
      </c>
      <c r="F202" s="4">
        <v>2435400</v>
      </c>
      <c r="G202" s="4">
        <v>2472800</v>
      </c>
      <c r="H202" s="4">
        <v>35800</v>
      </c>
      <c r="I202" s="4">
        <v>62300</v>
      </c>
      <c r="K202" s="4">
        <v>802850</v>
      </c>
      <c r="L202" s="4">
        <v>934650</v>
      </c>
      <c r="M202" s="4">
        <f>Tabla1[[#This Row],[BASE DEL DIA]]+Tabla1[[#This Row],[ENTREGAS]]+Tabla1[[#This Row],[TARJETAS]]+Tabla1[[#This Row],[NEQUI O QR]]+Tabla1[[#This Row],[VENTAS FE.CREDITO]]-Tabla1[[#This Row],[VENTAS NETAS]]-Tabla1[[#This Row],[BASE ANTERIOR]]</f>
        <v>3700</v>
      </c>
    </row>
    <row r="203" spans="1:13" ht="13.5" customHeight="1" x14ac:dyDescent="0.2">
      <c r="A203" s="1">
        <v>6503</v>
      </c>
      <c r="B203" s="2">
        <v>45783</v>
      </c>
      <c r="C203" s="3" t="s">
        <v>85</v>
      </c>
      <c r="D203" s="1" t="s">
        <v>180</v>
      </c>
      <c r="E203" s="1" t="s">
        <v>23</v>
      </c>
      <c r="F203" s="4">
        <v>3877000</v>
      </c>
      <c r="G203" s="4">
        <v>2999900</v>
      </c>
      <c r="H203" s="4">
        <v>412300</v>
      </c>
      <c r="I203" s="4">
        <v>323400</v>
      </c>
      <c r="K203" s="4">
        <v>934650</v>
      </c>
      <c r="L203" s="4">
        <v>791850</v>
      </c>
      <c r="M203" s="4">
        <f>Tabla1[[#This Row],[BASE DEL DIA]]+Tabla1[[#This Row],[ENTREGAS]]+Tabla1[[#This Row],[TARJETAS]]+Tabla1[[#This Row],[NEQUI O QR]]+Tabla1[[#This Row],[VENTAS FE.CREDITO]]-Tabla1[[#This Row],[VENTAS NETAS]]-Tabla1[[#This Row],[BASE ANTERIOR]]</f>
        <v>1400</v>
      </c>
    </row>
    <row r="204" spans="1:13" ht="13.5" customHeight="1" x14ac:dyDescent="0.2">
      <c r="A204" s="1">
        <v>6502</v>
      </c>
      <c r="B204" s="2">
        <v>45783</v>
      </c>
      <c r="C204" s="3" t="s">
        <v>65</v>
      </c>
      <c r="D204" s="1" t="s">
        <v>17</v>
      </c>
      <c r="E204" s="1" t="s">
        <v>22</v>
      </c>
      <c r="F204" s="4">
        <v>2920700</v>
      </c>
      <c r="G204" s="4">
        <v>2841522</v>
      </c>
      <c r="H204" s="4">
        <v>162300</v>
      </c>
      <c r="I204" s="4">
        <v>25000</v>
      </c>
      <c r="K204" s="4">
        <v>791850</v>
      </c>
      <c r="L204" s="4">
        <v>877050</v>
      </c>
      <c r="M204" s="4">
        <f>Tabla1[[#This Row],[BASE DEL DIA]]+Tabla1[[#This Row],[ENTREGAS]]+Tabla1[[#This Row],[TARJETAS]]+Tabla1[[#This Row],[NEQUI O QR]]+Tabla1[[#This Row],[VENTAS FE.CREDITO]]-Tabla1[[#This Row],[VENTAS NETAS]]-Tabla1[[#This Row],[BASE ANTERIOR]]</f>
        <v>22922</v>
      </c>
    </row>
    <row r="205" spans="1:13" ht="13.5" customHeight="1" x14ac:dyDescent="0.2">
      <c r="A205" s="1">
        <v>6501</v>
      </c>
      <c r="B205" s="2">
        <v>45782</v>
      </c>
      <c r="C205" s="3" t="s">
        <v>63</v>
      </c>
      <c r="D205" s="1" t="s">
        <v>180</v>
      </c>
      <c r="E205" s="1" t="s">
        <v>23</v>
      </c>
      <c r="F205" s="4">
        <v>3939400</v>
      </c>
      <c r="G205" s="4">
        <v>3778500</v>
      </c>
      <c r="H205" s="4">
        <v>118800</v>
      </c>
      <c r="I205" s="4">
        <v>44000</v>
      </c>
      <c r="J205" s="4">
        <v>0</v>
      </c>
      <c r="K205" s="4">
        <v>877050</v>
      </c>
      <c r="L205" s="4">
        <v>880000</v>
      </c>
      <c r="M205" s="4">
        <f>Tabla1[[#This Row],[BASE DEL DIA]]+Tabla1[[#This Row],[ENTREGAS]]+Tabla1[[#This Row],[TARJETAS]]+Tabla1[[#This Row],[NEQUI O QR]]+Tabla1[[#This Row],[VENTAS FE.CREDITO]]-Tabla1[[#This Row],[VENTAS NETAS]]-Tabla1[[#This Row],[BASE ANTERIOR]]</f>
        <v>-1050</v>
      </c>
    </row>
    <row r="206" spans="1:13" ht="13.5" customHeight="1" x14ac:dyDescent="0.2">
      <c r="A206" s="1">
        <v>6500</v>
      </c>
      <c r="B206" s="2">
        <v>45782</v>
      </c>
      <c r="C206" s="3" t="s">
        <v>57</v>
      </c>
      <c r="D206" s="1" t="s">
        <v>16</v>
      </c>
      <c r="E206" s="1" t="s">
        <v>23</v>
      </c>
      <c r="F206" s="4">
        <v>1811800</v>
      </c>
      <c r="G206" s="4">
        <v>1655600</v>
      </c>
      <c r="H206" s="4">
        <v>138300</v>
      </c>
      <c r="I206" s="4">
        <v>81500</v>
      </c>
      <c r="K206" s="4">
        <v>880000</v>
      </c>
      <c r="L206" s="4">
        <v>954100</v>
      </c>
      <c r="M206" s="4">
        <f>Tabla1[[#This Row],[BASE DEL DIA]]+Tabla1[[#This Row],[ENTREGAS]]+Tabla1[[#This Row],[TARJETAS]]+Tabla1[[#This Row],[NEQUI O QR]]+Tabla1[[#This Row],[VENTAS FE.CREDITO]]-Tabla1[[#This Row],[VENTAS NETAS]]-Tabla1[[#This Row],[BASE ANTERIOR]]</f>
        <v>-10500</v>
      </c>
    </row>
    <row r="207" spans="1:13" ht="13.5" customHeight="1" x14ac:dyDescent="0.2">
      <c r="A207" s="1">
        <v>6499</v>
      </c>
      <c r="B207" s="2">
        <v>45781</v>
      </c>
      <c r="C207" s="3" t="s">
        <v>163</v>
      </c>
      <c r="D207" s="1" t="s">
        <v>16</v>
      </c>
      <c r="E207" s="1" t="s">
        <v>23</v>
      </c>
      <c r="F207" s="4">
        <v>6265900</v>
      </c>
      <c r="G207" s="4">
        <v>5607800</v>
      </c>
      <c r="H207" s="4">
        <v>506200</v>
      </c>
      <c r="I207" s="4">
        <v>18600</v>
      </c>
      <c r="J207" s="4">
        <v>0</v>
      </c>
      <c r="K207" s="4">
        <v>954100</v>
      </c>
      <c r="L207" s="4">
        <v>798400</v>
      </c>
      <c r="M207" s="4">
        <f>Tabla1[[#This Row],[BASE DEL DIA]]+Tabla1[[#This Row],[ENTREGAS]]+Tabla1[[#This Row],[TARJETAS]]+Tabla1[[#This Row],[NEQUI O QR]]+Tabla1[[#This Row],[VENTAS FE.CREDITO]]-Tabla1[[#This Row],[VENTAS NETAS]]-Tabla1[[#This Row],[BASE ANTERIOR]]</f>
        <v>22400</v>
      </c>
    </row>
    <row r="208" spans="1:13" ht="13.5" customHeight="1" x14ac:dyDescent="0.2">
      <c r="A208" s="1">
        <v>6498</v>
      </c>
      <c r="B208" s="2">
        <v>45781</v>
      </c>
      <c r="C208" s="3" t="s">
        <v>171</v>
      </c>
      <c r="D208" s="1" t="s">
        <v>18</v>
      </c>
      <c r="E208" s="1" t="s">
        <v>22</v>
      </c>
      <c r="F208" s="4">
        <v>3533050</v>
      </c>
      <c r="G208" s="4">
        <v>3434700</v>
      </c>
      <c r="H208" s="4">
        <v>122900</v>
      </c>
      <c r="I208" s="4">
        <v>51000</v>
      </c>
      <c r="J208" s="4">
        <v>10800</v>
      </c>
      <c r="K208" s="4">
        <v>798400</v>
      </c>
      <c r="L208" s="4">
        <v>887950</v>
      </c>
      <c r="M208" s="4">
        <f>Tabla1[[#This Row],[BASE DEL DIA]]+Tabla1[[#This Row],[ENTREGAS]]+Tabla1[[#This Row],[TARJETAS]]+Tabla1[[#This Row],[NEQUI O QR]]+Tabla1[[#This Row],[VENTAS FE.CREDITO]]-Tabla1[[#This Row],[VENTAS NETAS]]-Tabla1[[#This Row],[BASE ANTERIOR]]</f>
        <v>-3200</v>
      </c>
    </row>
    <row r="209" spans="1:13" ht="13.5" customHeight="1" x14ac:dyDescent="0.2">
      <c r="A209" s="1">
        <v>6497</v>
      </c>
      <c r="B209" s="2">
        <v>45780</v>
      </c>
      <c r="C209" s="3" t="s">
        <v>160</v>
      </c>
      <c r="D209" s="1" t="s">
        <v>18</v>
      </c>
      <c r="E209" s="1" t="s">
        <v>23</v>
      </c>
      <c r="F209" s="4">
        <v>5775600</v>
      </c>
      <c r="G209" s="4">
        <v>5396500</v>
      </c>
      <c r="H209" s="4">
        <v>248200</v>
      </c>
      <c r="I209" s="4">
        <v>14700</v>
      </c>
      <c r="J209" s="4">
        <v>29000</v>
      </c>
      <c r="K209" s="4">
        <v>887950</v>
      </c>
      <c r="L209" s="4">
        <v>800500</v>
      </c>
      <c r="M209" s="4">
        <f>Tabla1[[#This Row],[BASE DEL DIA]]+Tabla1[[#This Row],[ENTREGAS]]+Tabla1[[#This Row],[TARJETAS]]+Tabla1[[#This Row],[NEQUI O QR]]+Tabla1[[#This Row],[VENTAS FE.CREDITO]]-Tabla1[[#This Row],[VENTAS NETAS]]-Tabla1[[#This Row],[BASE ANTERIOR]]</f>
        <v>250</v>
      </c>
    </row>
    <row r="210" spans="1:13" ht="13.5" customHeight="1" x14ac:dyDescent="0.2">
      <c r="A210" s="1">
        <v>6496</v>
      </c>
      <c r="B210" s="2">
        <v>45780</v>
      </c>
      <c r="C210" s="3" t="s">
        <v>140</v>
      </c>
      <c r="D210" s="1" t="s">
        <v>16</v>
      </c>
      <c r="E210" s="1" t="s">
        <v>22</v>
      </c>
      <c r="F210" s="4">
        <v>3707900</v>
      </c>
      <c r="G210" s="4">
        <v>3163850</v>
      </c>
      <c r="H210" s="4">
        <v>395100</v>
      </c>
      <c r="I210" s="4">
        <v>139900</v>
      </c>
      <c r="J210" s="4">
        <v>53700</v>
      </c>
      <c r="K210" s="4">
        <v>800050</v>
      </c>
      <c r="L210" s="4">
        <v>861050</v>
      </c>
      <c r="M210" s="4">
        <f>Tabla1[[#This Row],[BASE DEL DIA]]+Tabla1[[#This Row],[ENTREGAS]]+Tabla1[[#This Row],[TARJETAS]]+Tabla1[[#This Row],[NEQUI O QR]]+Tabla1[[#This Row],[VENTAS FE.CREDITO]]-Tabla1[[#This Row],[VENTAS NETAS]]-Tabla1[[#This Row],[BASE ANTERIOR]]</f>
        <v>-16350</v>
      </c>
    </row>
    <row r="211" spans="1:13" ht="13.5" customHeight="1" x14ac:dyDescent="0.2">
      <c r="A211" s="1">
        <v>6495</v>
      </c>
      <c r="B211" s="2">
        <v>45779</v>
      </c>
      <c r="C211" s="3" t="s">
        <v>40</v>
      </c>
      <c r="D211" s="1" t="s">
        <v>16</v>
      </c>
      <c r="E211" s="1" t="s">
        <v>23</v>
      </c>
      <c r="F211" s="4">
        <v>5356450</v>
      </c>
      <c r="G211" s="4">
        <v>4662100</v>
      </c>
      <c r="H211" s="4">
        <v>460550</v>
      </c>
      <c r="I211" s="4">
        <v>80500</v>
      </c>
      <c r="J211" s="4">
        <v>160700</v>
      </c>
      <c r="K211" s="4">
        <v>861050</v>
      </c>
      <c r="L211" s="4">
        <v>844900</v>
      </c>
      <c r="M211" s="4">
        <f>Tabla1[[#This Row],[BASE DEL DIA]]+Tabla1[[#This Row],[ENTREGAS]]+Tabla1[[#This Row],[TARJETAS]]+Tabla1[[#This Row],[NEQUI O QR]]+Tabla1[[#This Row],[VENTAS FE.CREDITO]]-Tabla1[[#This Row],[VENTAS NETAS]]-Tabla1[[#This Row],[BASE ANTERIOR]]</f>
        <v>23550</v>
      </c>
    </row>
    <row r="212" spans="1:13" ht="13.5" customHeight="1" x14ac:dyDescent="0.2">
      <c r="A212" s="1">
        <v>6494</v>
      </c>
      <c r="B212" s="2">
        <v>45779</v>
      </c>
      <c r="C212" s="3" t="s">
        <v>131</v>
      </c>
      <c r="D212" s="1" t="s">
        <v>18</v>
      </c>
      <c r="E212" s="1" t="s">
        <v>22</v>
      </c>
      <c r="F212" s="4">
        <v>3613500</v>
      </c>
      <c r="G212" s="4">
        <v>3291950</v>
      </c>
      <c r="H212" s="4">
        <v>304600</v>
      </c>
      <c r="J212" s="4">
        <v>7600</v>
      </c>
      <c r="K212" s="4">
        <v>844900</v>
      </c>
      <c r="L212" s="4">
        <v>836500</v>
      </c>
      <c r="M212" s="4">
        <f>Tabla1[[#This Row],[BASE DEL DIA]]+Tabla1[[#This Row],[ENTREGAS]]+Tabla1[[#This Row],[TARJETAS]]+Tabla1[[#This Row],[NEQUI O QR]]+Tabla1[[#This Row],[VENTAS FE.CREDITO]]-Tabla1[[#This Row],[VENTAS NETAS]]-Tabla1[[#This Row],[BASE ANTERIOR]]</f>
        <v>-950</v>
      </c>
    </row>
    <row r="213" spans="1:13" ht="13.5" customHeight="1" x14ac:dyDescent="0.2">
      <c r="A213" s="1">
        <v>6492</v>
      </c>
      <c r="B213" s="2">
        <v>45778</v>
      </c>
      <c r="C213" s="3" t="s">
        <v>107</v>
      </c>
      <c r="D213" s="1" t="s">
        <v>18</v>
      </c>
      <c r="E213" s="1" t="s">
        <v>23</v>
      </c>
      <c r="F213" s="4">
        <v>7187500</v>
      </c>
      <c r="G213" s="4">
        <v>6304200</v>
      </c>
      <c r="H213" s="4">
        <v>765100</v>
      </c>
      <c r="I213" s="4">
        <v>195400</v>
      </c>
      <c r="J213" s="4">
        <v>2500</v>
      </c>
      <c r="K213" s="4">
        <v>836500</v>
      </c>
      <c r="L213" s="4">
        <v>894500</v>
      </c>
      <c r="M213" s="4">
        <f>Tabla1[[#This Row],[BASE DEL DIA]]+Tabla1[[#This Row],[ENTREGAS]]+Tabla1[[#This Row],[TARJETAS]]+Tabla1[[#This Row],[NEQUI O QR]]+Tabla1[[#This Row],[VENTAS FE.CREDITO]]-Tabla1[[#This Row],[VENTAS NETAS]]-Tabla1[[#This Row],[BASE ANTERIOR]]</f>
        <v>21700</v>
      </c>
    </row>
    <row r="214" spans="1:13" ht="13.5" customHeight="1" x14ac:dyDescent="0.2">
      <c r="A214" s="1">
        <v>6491</v>
      </c>
      <c r="B214" s="2">
        <v>45778</v>
      </c>
      <c r="C214" s="3" t="s">
        <v>111</v>
      </c>
      <c r="D214" s="1" t="s">
        <v>16</v>
      </c>
      <c r="E214" s="1" t="s">
        <v>22</v>
      </c>
      <c r="F214" s="4">
        <v>4319100</v>
      </c>
      <c r="G214" s="4">
        <v>3571400</v>
      </c>
      <c r="H214" s="4">
        <v>626500</v>
      </c>
      <c r="I214" s="4">
        <v>88700</v>
      </c>
      <c r="K214" s="4">
        <v>894500</v>
      </c>
      <c r="L214" s="4">
        <v>871100</v>
      </c>
      <c r="M214" s="4">
        <f>Tabla1[[#This Row],[BASE DEL DIA]]+Tabla1[[#This Row],[ENTREGAS]]+Tabla1[[#This Row],[TARJETAS]]+Tabla1[[#This Row],[NEQUI O QR]]+Tabla1[[#This Row],[VENTAS FE.CREDITO]]-Tabla1[[#This Row],[VENTAS NETAS]]-Tabla1[[#This Row],[BASE ANTERIOR]]</f>
        <v>-9100</v>
      </c>
    </row>
    <row r="215" spans="1:13" ht="13.5" customHeight="1" x14ac:dyDescent="0.2">
      <c r="A215" s="1">
        <v>6490</v>
      </c>
      <c r="B215" s="2">
        <v>45777</v>
      </c>
      <c r="C215" s="3" t="s">
        <v>107</v>
      </c>
      <c r="D215" s="1" t="s">
        <v>16</v>
      </c>
      <c r="E215" s="1" t="s">
        <v>23</v>
      </c>
      <c r="F215" s="4">
        <v>5981500</v>
      </c>
      <c r="G215" s="4">
        <v>4693600</v>
      </c>
      <c r="H215" s="4">
        <v>967300</v>
      </c>
      <c r="I215" s="4">
        <v>199100</v>
      </c>
      <c r="J215" s="4">
        <v>22700</v>
      </c>
      <c r="K215" s="4">
        <v>871100</v>
      </c>
      <c r="L215" s="4">
        <v>767000</v>
      </c>
      <c r="M215" s="4">
        <f>Tabla1[[#This Row],[BASE DEL DIA]]+Tabla1[[#This Row],[ENTREGAS]]+Tabla1[[#This Row],[TARJETAS]]+Tabla1[[#This Row],[NEQUI O QR]]+Tabla1[[#This Row],[VENTAS FE.CREDITO]]-Tabla1[[#This Row],[VENTAS NETAS]]-Tabla1[[#This Row],[BASE ANTERIOR]]</f>
        <v>5300</v>
      </c>
    </row>
    <row r="216" spans="1:13" ht="13.5" customHeight="1" x14ac:dyDescent="0.2">
      <c r="A216" s="1">
        <v>6489</v>
      </c>
      <c r="B216" s="2">
        <v>45777</v>
      </c>
      <c r="C216" s="3" t="s">
        <v>46</v>
      </c>
      <c r="D216" s="1" t="s">
        <v>18</v>
      </c>
      <c r="E216" s="1" t="s">
        <v>22</v>
      </c>
      <c r="F216" s="4">
        <v>1943550</v>
      </c>
      <c r="G216" s="4">
        <v>1780800</v>
      </c>
      <c r="H216" s="4">
        <v>276200</v>
      </c>
      <c r="I216" s="4">
        <v>32100</v>
      </c>
      <c r="J216" s="4">
        <v>3600</v>
      </c>
      <c r="K216" s="4">
        <v>767000</v>
      </c>
      <c r="L216" s="4">
        <v>915150</v>
      </c>
      <c r="M216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</v>
      </c>
    </row>
    <row r="217" spans="1:13" ht="13.5" customHeight="1" x14ac:dyDescent="0.2">
      <c r="A217" s="1">
        <v>6488</v>
      </c>
      <c r="B217" s="2">
        <v>45776</v>
      </c>
      <c r="C217" s="3" t="s">
        <v>85</v>
      </c>
      <c r="D217" s="1" t="s">
        <v>18</v>
      </c>
      <c r="E217" s="1" t="s">
        <v>23</v>
      </c>
      <c r="F217" s="4">
        <v>3986400</v>
      </c>
      <c r="G217" s="4">
        <v>3392000</v>
      </c>
      <c r="H217" s="4">
        <v>491900</v>
      </c>
      <c r="I217" s="4">
        <v>22100</v>
      </c>
      <c r="J217" s="4">
        <v>4700</v>
      </c>
      <c r="K217" s="4">
        <v>915150</v>
      </c>
      <c r="L217" s="4">
        <v>840000</v>
      </c>
      <c r="M217" s="4">
        <f>Tabla1[[#This Row],[BASE DEL DIA]]+Tabla1[[#This Row],[ENTREGAS]]+Tabla1[[#This Row],[TARJETAS]]+Tabla1[[#This Row],[NEQUI O QR]]+Tabla1[[#This Row],[VENTAS FE.CREDITO]]-Tabla1[[#This Row],[VENTAS NETAS]]-Tabla1[[#This Row],[BASE ANTERIOR]]</f>
        <v>-550</v>
      </c>
    </row>
    <row r="218" spans="1:13" ht="13.5" customHeight="1" x14ac:dyDescent="0.2">
      <c r="A218" s="1">
        <v>6487</v>
      </c>
      <c r="B218" s="2">
        <v>45776</v>
      </c>
      <c r="C218" s="3" t="s">
        <v>80</v>
      </c>
      <c r="D218" s="1" t="s">
        <v>16</v>
      </c>
      <c r="E218" s="1" t="s">
        <v>22</v>
      </c>
      <c r="F218" s="4">
        <v>2521300</v>
      </c>
      <c r="G218" s="4">
        <v>2391750</v>
      </c>
      <c r="H218" s="4">
        <v>182100</v>
      </c>
      <c r="I218" s="4">
        <v>13800</v>
      </c>
      <c r="J218" s="4">
        <v>34200</v>
      </c>
      <c r="K218" s="4">
        <v>840000</v>
      </c>
      <c r="L218" s="4">
        <v>944800</v>
      </c>
      <c r="M218" s="4">
        <f>Tabla1[[#This Row],[BASE DEL DIA]]+Tabla1[[#This Row],[ENTREGAS]]+Tabla1[[#This Row],[TARJETAS]]+Tabla1[[#This Row],[NEQUI O QR]]+Tabla1[[#This Row],[VENTAS FE.CREDITO]]-Tabla1[[#This Row],[VENTAS NETAS]]-Tabla1[[#This Row],[BASE ANTERIOR]]</f>
        <v>-4250</v>
      </c>
    </row>
    <row r="219" spans="1:13" ht="13.5" customHeight="1" x14ac:dyDescent="0.2">
      <c r="A219" s="1">
        <v>6486</v>
      </c>
      <c r="B219" s="2">
        <v>45775</v>
      </c>
      <c r="C219" s="3" t="s">
        <v>110</v>
      </c>
      <c r="D219" s="1" t="s">
        <v>16</v>
      </c>
      <c r="E219" s="1" t="s">
        <v>23</v>
      </c>
      <c r="F219" s="4">
        <v>4745200</v>
      </c>
      <c r="G219" s="4">
        <v>4222100</v>
      </c>
      <c r="H219" s="4">
        <v>350700</v>
      </c>
      <c r="I219" s="4">
        <v>81600</v>
      </c>
      <c r="J219" s="4">
        <v>19000</v>
      </c>
      <c r="K219" s="4">
        <v>944800</v>
      </c>
      <c r="L219" s="4">
        <v>870750</v>
      </c>
      <c r="M219" s="4">
        <f>Tabla1[[#This Row],[BASE DEL DIA]]+Tabla1[[#This Row],[ENTREGAS]]+Tabla1[[#This Row],[TARJETAS]]+Tabla1[[#This Row],[NEQUI O QR]]+Tabla1[[#This Row],[VENTAS FE.CREDITO]]-Tabla1[[#This Row],[VENTAS NETAS]]-Tabla1[[#This Row],[BASE ANTERIOR]]</f>
        <v>2250</v>
      </c>
    </row>
    <row r="220" spans="1:13" ht="13.5" customHeight="1" x14ac:dyDescent="0.2">
      <c r="B220" s="2">
        <v>45775</v>
      </c>
      <c r="C220" s="3" t="s">
        <v>189</v>
      </c>
      <c r="D220" s="1" t="s">
        <v>180</v>
      </c>
      <c r="E220" s="1" t="s">
        <v>22</v>
      </c>
      <c r="F220" s="4">
        <v>2121700</v>
      </c>
      <c r="G220" s="4">
        <v>1373022</v>
      </c>
      <c r="H220" s="4">
        <v>153900</v>
      </c>
      <c r="I220" s="4">
        <v>111800</v>
      </c>
      <c r="K220" s="4">
        <v>870750</v>
      </c>
      <c r="L220" s="4">
        <v>508850</v>
      </c>
      <c r="M220" s="4">
        <f>Tabla1[[#This Row],[BASE DEL DIA]]+Tabla1[[#This Row],[ENTREGAS]]+Tabla1[[#This Row],[TARJETAS]]+Tabla1[[#This Row],[NEQUI O QR]]+Tabla1[[#This Row],[VENTAS FE.CREDITO]]-Tabla1[[#This Row],[VENTAS NETAS]]-Tabla1[[#This Row],[BASE ANTERIOR]]</f>
        <v>-121078</v>
      </c>
    </row>
    <row r="221" spans="1:13" ht="13.5" customHeight="1" x14ac:dyDescent="0.2">
      <c r="B221" s="2">
        <v>45775</v>
      </c>
      <c r="C221" s="3" t="s">
        <v>188</v>
      </c>
      <c r="D221" s="1" t="s">
        <v>180</v>
      </c>
      <c r="E221" s="1" t="s">
        <v>22</v>
      </c>
      <c r="F221" s="4">
        <v>3690000</v>
      </c>
      <c r="G221" s="4">
        <v>3770000</v>
      </c>
      <c r="H221" s="4">
        <v>178400</v>
      </c>
      <c r="I221" s="4">
        <v>20900</v>
      </c>
      <c r="K221" s="4">
        <v>507650</v>
      </c>
      <c r="L221" s="4">
        <v>784250</v>
      </c>
      <c r="M221" s="4">
        <f>Tabla1[[#This Row],[BASE DEL DIA]]+Tabla1[[#This Row],[ENTREGAS]]+Tabla1[[#This Row],[TARJETAS]]+Tabla1[[#This Row],[NEQUI O QR]]+Tabla1[[#This Row],[VENTAS FE.CREDITO]]-Tabla1[[#This Row],[VENTAS NETAS]]-Tabla1[[#This Row],[BASE ANTERIOR]]</f>
        <v>2700</v>
      </c>
    </row>
    <row r="222" spans="1:13" ht="13.5" customHeight="1" x14ac:dyDescent="0.2">
      <c r="A222" s="1">
        <v>6483</v>
      </c>
      <c r="B222" s="2">
        <v>45774</v>
      </c>
      <c r="C222" s="3" t="s">
        <v>93</v>
      </c>
      <c r="D222" s="1" t="s">
        <v>180</v>
      </c>
      <c r="E222" s="1" t="s">
        <v>22</v>
      </c>
      <c r="F222" s="4">
        <v>2194900</v>
      </c>
      <c r="G222" s="4">
        <v>2030400</v>
      </c>
      <c r="H222" s="4">
        <v>205200</v>
      </c>
      <c r="I222" s="4">
        <v>39800</v>
      </c>
      <c r="K222" s="4">
        <v>784250</v>
      </c>
      <c r="L222" s="4">
        <v>864250</v>
      </c>
      <c r="M222" s="4">
        <f>Tabla1[[#This Row],[BASE DEL DIA]]+Tabla1[[#This Row],[ENTREGAS]]+Tabla1[[#This Row],[TARJETAS]]+Tabla1[[#This Row],[NEQUI O QR]]+Tabla1[[#This Row],[VENTAS FE.CREDITO]]-Tabla1[[#This Row],[VENTAS NETAS]]-Tabla1[[#This Row],[BASE ANTERIOR]]</f>
        <v>500</v>
      </c>
    </row>
    <row r="223" spans="1:13" ht="13.5" customHeight="1" x14ac:dyDescent="0.2">
      <c r="A223" s="1">
        <v>6482</v>
      </c>
      <c r="B223" s="2">
        <v>45774</v>
      </c>
      <c r="C223" s="3" t="s">
        <v>187</v>
      </c>
      <c r="D223" s="1" t="s">
        <v>180</v>
      </c>
      <c r="E223" s="1" t="s">
        <v>23</v>
      </c>
      <c r="F223" s="4">
        <v>3680400</v>
      </c>
      <c r="G223" s="4">
        <v>3462000</v>
      </c>
      <c r="H223" s="4">
        <v>124600</v>
      </c>
      <c r="I223" s="4">
        <v>24500</v>
      </c>
      <c r="J223" s="4">
        <v>23800</v>
      </c>
      <c r="K223" s="4">
        <v>864250</v>
      </c>
      <c r="L223" s="4">
        <v>815350</v>
      </c>
      <c r="M223" s="4">
        <f>Tabla1[[#This Row],[BASE DEL DIA]]+Tabla1[[#This Row],[ENTREGAS]]+Tabla1[[#This Row],[TARJETAS]]+Tabla1[[#This Row],[NEQUI O QR]]+Tabla1[[#This Row],[VENTAS FE.CREDITO]]-Tabla1[[#This Row],[VENTAS NETAS]]-Tabla1[[#This Row],[BASE ANTERIOR]]</f>
        <v>3400</v>
      </c>
    </row>
    <row r="224" spans="1:13" ht="13.5" customHeight="1" x14ac:dyDescent="0.2">
      <c r="A224" s="1">
        <v>6481</v>
      </c>
      <c r="B224" s="2">
        <v>45773</v>
      </c>
      <c r="C224" s="3" t="s">
        <v>145</v>
      </c>
      <c r="D224" s="1" t="s">
        <v>17</v>
      </c>
      <c r="E224" s="1" t="s">
        <v>22</v>
      </c>
      <c r="F224" s="4">
        <v>3130600</v>
      </c>
      <c r="G224" s="4">
        <v>2825000</v>
      </c>
      <c r="H224" s="4">
        <v>299400</v>
      </c>
      <c r="I224" s="4">
        <v>63400</v>
      </c>
      <c r="K224" s="4">
        <v>815350</v>
      </c>
      <c r="L224" s="4">
        <v>876650</v>
      </c>
      <c r="M224" s="4">
        <f>Tabla1[[#This Row],[BASE DEL DIA]]+Tabla1[[#This Row],[ENTREGAS]]+Tabla1[[#This Row],[TARJETAS]]+Tabla1[[#This Row],[NEQUI O QR]]+Tabla1[[#This Row],[VENTAS FE.CREDITO]]-Tabla1[[#This Row],[VENTAS NETAS]]-Tabla1[[#This Row],[BASE ANTERIOR]]</f>
        <v>-4100</v>
      </c>
    </row>
    <row r="225" spans="1:13" ht="13.5" customHeight="1" x14ac:dyDescent="0.2">
      <c r="B225" s="2">
        <v>45772</v>
      </c>
      <c r="C225" s="3" t="s">
        <v>110</v>
      </c>
      <c r="D225" s="1" t="s">
        <v>17</v>
      </c>
      <c r="E225" s="1" t="s">
        <v>23</v>
      </c>
      <c r="M225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226" spans="1:13" ht="13.5" customHeight="1" x14ac:dyDescent="0.2">
      <c r="A226" s="1">
        <v>6480</v>
      </c>
      <c r="B226" s="2">
        <v>45772</v>
      </c>
      <c r="C226" s="3" t="s">
        <v>110</v>
      </c>
      <c r="D226" s="1" t="s">
        <v>17</v>
      </c>
      <c r="E226" s="1" t="s">
        <v>23</v>
      </c>
      <c r="F226" s="4">
        <v>2777000</v>
      </c>
      <c r="G226" s="4">
        <v>2535200</v>
      </c>
      <c r="H226" s="4">
        <v>47400</v>
      </c>
      <c r="I226" s="4">
        <v>153500</v>
      </c>
      <c r="J226" s="4">
        <v>9100</v>
      </c>
      <c r="K226" s="4">
        <v>876650</v>
      </c>
      <c r="L226" s="4">
        <v>848850</v>
      </c>
      <c r="M226" s="4">
        <f>Tabla1[[#This Row],[BASE DEL DIA]]+Tabla1[[#This Row],[ENTREGAS]]+Tabla1[[#This Row],[TARJETAS]]+Tabla1[[#This Row],[NEQUI O QR]]+Tabla1[[#This Row],[VENTAS FE.CREDITO]]-Tabla1[[#This Row],[VENTAS NETAS]]-Tabla1[[#This Row],[BASE ANTERIOR]]</f>
        <v>-4000</v>
      </c>
    </row>
    <row r="227" spans="1:13" ht="13.5" customHeight="1" x14ac:dyDescent="0.2">
      <c r="A227" s="1">
        <v>6479</v>
      </c>
      <c r="B227" s="2">
        <v>45772</v>
      </c>
      <c r="C227" s="3" t="s">
        <v>49</v>
      </c>
      <c r="D227" s="1" t="s">
        <v>180</v>
      </c>
      <c r="E227" s="1" t="s">
        <v>23</v>
      </c>
      <c r="F227" s="4">
        <v>2702300</v>
      </c>
      <c r="G227" s="4">
        <v>2274050</v>
      </c>
      <c r="H227" s="4">
        <v>372300</v>
      </c>
      <c r="I227" s="4">
        <v>68300</v>
      </c>
      <c r="J227" s="4">
        <v>0</v>
      </c>
      <c r="K227" s="4">
        <v>848850</v>
      </c>
      <c r="L227" s="4">
        <v>860500</v>
      </c>
      <c r="M227" s="4">
        <f>Tabla1[[#This Row],[BASE DEL DIA]]+Tabla1[[#This Row],[ENTREGAS]]+Tabla1[[#This Row],[TARJETAS]]+Tabla1[[#This Row],[NEQUI O QR]]+Tabla1[[#This Row],[VENTAS FE.CREDITO]]-Tabla1[[#This Row],[VENTAS NETAS]]-Tabla1[[#This Row],[BASE ANTERIOR]]</f>
        <v>700</v>
      </c>
    </row>
    <row r="228" spans="1:13" ht="13.5" customHeight="1" x14ac:dyDescent="0.2">
      <c r="A228" s="1">
        <v>6478</v>
      </c>
      <c r="B228" s="2">
        <v>45772</v>
      </c>
      <c r="C228" s="3" t="s">
        <v>53</v>
      </c>
      <c r="D228" s="1" t="s">
        <v>180</v>
      </c>
      <c r="E228" s="1" t="s">
        <v>23</v>
      </c>
      <c r="F228" s="4">
        <v>2704300</v>
      </c>
      <c r="G228" s="4">
        <v>2511000</v>
      </c>
      <c r="H228" s="4">
        <v>194600</v>
      </c>
      <c r="I228" s="4">
        <v>36000</v>
      </c>
      <c r="K228" s="4">
        <v>860500</v>
      </c>
      <c r="L228" s="4">
        <v>894950</v>
      </c>
      <c r="M228" s="4">
        <f>Tabla1[[#This Row],[BASE DEL DIA]]+Tabla1[[#This Row],[ENTREGAS]]+Tabla1[[#This Row],[TARJETAS]]+Tabla1[[#This Row],[NEQUI O QR]]+Tabla1[[#This Row],[VENTAS FE.CREDITO]]-Tabla1[[#This Row],[VENTAS NETAS]]-Tabla1[[#This Row],[BASE ANTERIOR]]</f>
        <v>2850</v>
      </c>
    </row>
    <row r="229" spans="1:13" ht="13.5" customHeight="1" x14ac:dyDescent="0.2">
      <c r="A229" s="1">
        <v>6477</v>
      </c>
      <c r="B229" s="2">
        <v>45771</v>
      </c>
      <c r="C229" s="3" t="s">
        <v>47</v>
      </c>
      <c r="D229" s="1" t="s">
        <v>17</v>
      </c>
      <c r="E229" s="1" t="s">
        <v>22</v>
      </c>
      <c r="F229" s="4">
        <v>2196900</v>
      </c>
      <c r="G229" s="4">
        <v>2065800</v>
      </c>
      <c r="H229" s="4">
        <v>72400</v>
      </c>
      <c r="I229" s="4">
        <v>35500</v>
      </c>
      <c r="K229" s="4">
        <v>894950</v>
      </c>
      <c r="L229" s="4">
        <v>868050</v>
      </c>
      <c r="M229" s="4">
        <f>Tabla1[[#This Row],[BASE DEL DIA]]+Tabla1[[#This Row],[ENTREGAS]]+Tabla1[[#This Row],[TARJETAS]]+Tabla1[[#This Row],[NEQUI O QR]]+Tabla1[[#This Row],[VENTAS FE.CREDITO]]-Tabla1[[#This Row],[VENTAS NETAS]]-Tabla1[[#This Row],[BASE ANTERIOR]]</f>
        <v>3700</v>
      </c>
    </row>
    <row r="230" spans="1:13" ht="13.5" customHeight="1" x14ac:dyDescent="0.2">
      <c r="A230" s="1">
        <v>6476</v>
      </c>
      <c r="B230" s="2">
        <v>45770</v>
      </c>
      <c r="C230" s="3" t="s">
        <v>106</v>
      </c>
      <c r="D230" s="1" t="s">
        <v>17</v>
      </c>
      <c r="E230" s="1" t="s">
        <v>23</v>
      </c>
      <c r="F230" s="4">
        <v>3869600</v>
      </c>
      <c r="G230" s="4">
        <v>3503200</v>
      </c>
      <c r="H230" s="4">
        <v>66700</v>
      </c>
      <c r="I230" s="4">
        <v>216100</v>
      </c>
      <c r="J230" s="4">
        <v>0</v>
      </c>
      <c r="K230" s="4">
        <v>868050</v>
      </c>
      <c r="L230" s="4">
        <v>783550</v>
      </c>
      <c r="M230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231" spans="1:13" ht="13.5" customHeight="1" x14ac:dyDescent="0.2">
      <c r="A231" s="1">
        <v>6475</v>
      </c>
      <c r="B231" s="2">
        <v>45770</v>
      </c>
      <c r="C231" s="3" t="s">
        <v>129</v>
      </c>
      <c r="D231" s="1" t="s">
        <v>19</v>
      </c>
      <c r="E231" s="1" t="s">
        <v>22</v>
      </c>
      <c r="F231" s="4">
        <v>2186050</v>
      </c>
      <c r="G231" s="4">
        <v>2186900</v>
      </c>
      <c r="H231" s="4">
        <v>107100</v>
      </c>
      <c r="I231" s="4">
        <v>9300</v>
      </c>
      <c r="K231" s="4">
        <v>783550</v>
      </c>
      <c r="L231" s="4">
        <v>873300</v>
      </c>
      <c r="M231" s="4">
        <f>Tabla1[[#This Row],[BASE DEL DIA]]+Tabla1[[#This Row],[ENTREGAS]]+Tabla1[[#This Row],[TARJETAS]]+Tabla1[[#This Row],[NEQUI O QR]]+Tabla1[[#This Row],[VENTAS FE.CREDITO]]-Tabla1[[#This Row],[VENTAS NETAS]]-Tabla1[[#This Row],[BASE ANTERIOR]]</f>
        <v>27500</v>
      </c>
    </row>
    <row r="232" spans="1:13" ht="13.5" customHeight="1" x14ac:dyDescent="0.2">
      <c r="A232" s="1">
        <v>6474</v>
      </c>
      <c r="B232" s="2">
        <v>45769</v>
      </c>
      <c r="C232" s="3" t="s">
        <v>96</v>
      </c>
      <c r="D232" s="1" t="s">
        <v>17</v>
      </c>
      <c r="E232" s="1" t="s">
        <v>23</v>
      </c>
      <c r="F232" s="4">
        <v>3420400</v>
      </c>
      <c r="G232" s="4">
        <v>3112000</v>
      </c>
      <c r="H232" s="4">
        <v>235400</v>
      </c>
      <c r="I232" s="4">
        <v>71700</v>
      </c>
      <c r="J232" s="4">
        <v>9500</v>
      </c>
      <c r="K232" s="4">
        <v>873300</v>
      </c>
      <c r="L232" s="4">
        <v>880550</v>
      </c>
      <c r="M232" s="4">
        <f>Tabla1[[#This Row],[BASE DEL DIA]]+Tabla1[[#This Row],[ENTREGAS]]+Tabla1[[#This Row],[TARJETAS]]+Tabla1[[#This Row],[NEQUI O QR]]+Tabla1[[#This Row],[VENTAS FE.CREDITO]]-Tabla1[[#This Row],[VENTAS NETAS]]-Tabla1[[#This Row],[BASE ANTERIOR]]</f>
        <v>950</v>
      </c>
    </row>
    <row r="233" spans="1:13" ht="13.5" customHeight="1" x14ac:dyDescent="0.2">
      <c r="A233" s="1">
        <v>6473</v>
      </c>
      <c r="B233" s="2">
        <v>45769</v>
      </c>
      <c r="C233" s="3" t="s">
        <v>131</v>
      </c>
      <c r="D233" s="1" t="s">
        <v>180</v>
      </c>
      <c r="E233" s="1" t="s">
        <v>22</v>
      </c>
      <c r="F233" s="4">
        <v>2918400</v>
      </c>
      <c r="G233" s="4">
        <v>2974100</v>
      </c>
      <c r="H233" s="4">
        <v>47200</v>
      </c>
      <c r="K233" s="4">
        <v>880550</v>
      </c>
      <c r="L233" s="4">
        <v>981700</v>
      </c>
      <c r="M233" s="4">
        <f>Tabla1[[#This Row],[BASE DEL DIA]]+Tabla1[[#This Row],[ENTREGAS]]+Tabla1[[#This Row],[TARJETAS]]+Tabla1[[#This Row],[NEQUI O QR]]+Tabla1[[#This Row],[VENTAS FE.CREDITO]]-Tabla1[[#This Row],[VENTAS NETAS]]-Tabla1[[#This Row],[BASE ANTERIOR]]</f>
        <v>1750</v>
      </c>
    </row>
    <row r="234" spans="1:13" ht="13.5" customHeight="1" x14ac:dyDescent="0.2">
      <c r="A234" s="1">
        <v>6472</v>
      </c>
      <c r="B234" s="2">
        <v>45768</v>
      </c>
      <c r="C234" s="3" t="s">
        <v>63</v>
      </c>
      <c r="D234" s="1" t="s">
        <v>180</v>
      </c>
      <c r="E234" s="1" t="s">
        <v>23</v>
      </c>
      <c r="F234" s="4">
        <v>3624800</v>
      </c>
      <c r="G234" s="4">
        <v>2910000</v>
      </c>
      <c r="H234" s="4">
        <v>490800</v>
      </c>
      <c r="K234" s="4">
        <v>981700</v>
      </c>
      <c r="L234" s="4">
        <v>756050</v>
      </c>
      <c r="M234" s="4">
        <f>Tabla1[[#This Row],[BASE DEL DIA]]+Tabla1[[#This Row],[ENTREGAS]]+Tabla1[[#This Row],[TARJETAS]]+Tabla1[[#This Row],[NEQUI O QR]]+Tabla1[[#This Row],[VENTAS FE.CREDITO]]-Tabla1[[#This Row],[VENTAS NETAS]]-Tabla1[[#This Row],[BASE ANTERIOR]]</f>
        <v>1650</v>
      </c>
    </row>
    <row r="235" spans="1:13" ht="13.5" customHeight="1" x14ac:dyDescent="0.2">
      <c r="A235" s="1">
        <v>6471</v>
      </c>
      <c r="B235" s="2">
        <v>45768</v>
      </c>
      <c r="C235" s="3" t="s">
        <v>186</v>
      </c>
      <c r="D235" s="1" t="s">
        <v>18</v>
      </c>
      <c r="E235" s="1" t="s">
        <v>24</v>
      </c>
      <c r="F235" s="4">
        <v>1954900</v>
      </c>
      <c r="G235" s="4">
        <v>2002000</v>
      </c>
      <c r="H235" s="4">
        <v>26100</v>
      </c>
      <c r="I235" s="4">
        <v>6700</v>
      </c>
      <c r="K235" s="4">
        <v>756050</v>
      </c>
      <c r="L235" s="4">
        <v>830250</v>
      </c>
      <c r="M235" s="4">
        <f>Tabla1[[#This Row],[BASE DEL DIA]]+Tabla1[[#This Row],[ENTREGAS]]+Tabla1[[#This Row],[TARJETAS]]+Tabla1[[#This Row],[NEQUI O QR]]+Tabla1[[#This Row],[VENTAS FE.CREDITO]]-Tabla1[[#This Row],[VENTAS NETAS]]-Tabla1[[#This Row],[BASE ANTERIOR]]</f>
        <v>5700</v>
      </c>
    </row>
    <row r="236" spans="1:13" ht="13.5" customHeight="1" x14ac:dyDescent="0.2">
      <c r="A236" s="1">
        <v>6470</v>
      </c>
      <c r="B236" s="2">
        <v>45767</v>
      </c>
      <c r="C236" s="3" t="s">
        <v>130</v>
      </c>
      <c r="D236" s="1" t="s">
        <v>18</v>
      </c>
      <c r="E236" s="1" t="s">
        <v>24</v>
      </c>
      <c r="F236" s="4">
        <v>11865800</v>
      </c>
      <c r="G236" s="4">
        <v>10597000</v>
      </c>
      <c r="H236" s="4">
        <v>772700</v>
      </c>
      <c r="I236" s="4">
        <v>444100</v>
      </c>
      <c r="J236" s="4">
        <v>82900</v>
      </c>
      <c r="K236" s="4">
        <v>830250</v>
      </c>
      <c r="L236" s="4">
        <v>851050</v>
      </c>
      <c r="M236" s="4">
        <f>Tabla1[[#This Row],[BASE DEL DIA]]+Tabla1[[#This Row],[ENTREGAS]]+Tabla1[[#This Row],[TARJETAS]]+Tabla1[[#This Row],[NEQUI O QR]]+Tabla1[[#This Row],[VENTAS FE.CREDITO]]-Tabla1[[#This Row],[VENTAS NETAS]]-Tabla1[[#This Row],[BASE ANTERIOR]]</f>
        <v>10100</v>
      </c>
    </row>
    <row r="237" spans="1:13" ht="13.5" customHeight="1" x14ac:dyDescent="0.2">
      <c r="A237" s="1">
        <v>6470</v>
      </c>
      <c r="B237" s="2">
        <v>45766</v>
      </c>
      <c r="C237" s="3" t="s">
        <v>160</v>
      </c>
      <c r="D237" s="1" t="s">
        <v>18</v>
      </c>
      <c r="E237" s="1" t="s">
        <v>23</v>
      </c>
      <c r="F237" s="4">
        <v>3752800</v>
      </c>
      <c r="G237" s="4">
        <v>3430000</v>
      </c>
      <c r="H237" s="4">
        <v>180800</v>
      </c>
      <c r="I237" s="4">
        <v>26900</v>
      </c>
      <c r="J237" s="4">
        <v>0</v>
      </c>
      <c r="K237" s="4">
        <v>968050</v>
      </c>
      <c r="L237" s="4">
        <v>851050</v>
      </c>
      <c r="M237" s="4">
        <f>Tabla1[[#This Row],[BASE DEL DIA]]+Tabla1[[#This Row],[ENTREGAS]]+Tabla1[[#This Row],[TARJETAS]]+Tabla1[[#This Row],[NEQUI O QR]]+Tabla1[[#This Row],[VENTAS FE.CREDITO]]-Tabla1[[#This Row],[VENTAS NETAS]]-Tabla1[[#This Row],[BASE ANTERIOR]]</f>
        <v>1900</v>
      </c>
    </row>
    <row r="238" spans="1:13" ht="13.5" customHeight="1" x14ac:dyDescent="0.2">
      <c r="A238" s="1">
        <v>6469</v>
      </c>
      <c r="B238" s="2">
        <v>45766</v>
      </c>
      <c r="C238" s="3" t="s">
        <v>125</v>
      </c>
      <c r="D238" s="1" t="s">
        <v>16</v>
      </c>
      <c r="E238" s="1" t="s">
        <v>22</v>
      </c>
      <c r="F238" s="4">
        <v>4094150</v>
      </c>
      <c r="G238" s="4">
        <v>3918600</v>
      </c>
      <c r="H238" s="4">
        <v>131900</v>
      </c>
      <c r="I238" s="4">
        <v>34150</v>
      </c>
      <c r="J238" s="4">
        <v>23800</v>
      </c>
      <c r="K238" s="4">
        <v>851050</v>
      </c>
      <c r="L238" s="4">
        <v>861650</v>
      </c>
      <c r="M238" s="4">
        <f>Tabla1[[#This Row],[BASE DEL DIA]]+Tabla1[[#This Row],[ENTREGAS]]+Tabla1[[#This Row],[TARJETAS]]+Tabla1[[#This Row],[NEQUI O QR]]+Tabla1[[#This Row],[VENTAS FE.CREDITO]]-Tabla1[[#This Row],[VENTAS NETAS]]-Tabla1[[#This Row],[BASE ANTERIOR]]</f>
        <v>3700</v>
      </c>
    </row>
    <row r="239" spans="1:13" ht="13.5" customHeight="1" x14ac:dyDescent="0.2">
      <c r="A239" s="1">
        <v>6468</v>
      </c>
      <c r="B239" s="2">
        <v>45765</v>
      </c>
      <c r="C239" s="3" t="s">
        <v>185</v>
      </c>
      <c r="D239" s="1" t="s">
        <v>18</v>
      </c>
      <c r="E239" s="1" t="s">
        <v>24</v>
      </c>
      <c r="F239" s="4">
        <v>6780750</v>
      </c>
      <c r="G239" s="4">
        <v>6210000</v>
      </c>
      <c r="H239" s="4">
        <v>445500</v>
      </c>
      <c r="I239" s="4">
        <v>137900</v>
      </c>
      <c r="J239" s="4">
        <v>92800</v>
      </c>
      <c r="K239" s="4">
        <v>861650</v>
      </c>
      <c r="L239" s="4">
        <v>962050</v>
      </c>
      <c r="M239" s="4">
        <f>Tabla1[[#This Row],[BASE DEL DIA]]+Tabla1[[#This Row],[ENTREGAS]]+Tabla1[[#This Row],[TARJETAS]]+Tabla1[[#This Row],[NEQUI O QR]]+Tabla1[[#This Row],[VENTAS FE.CREDITO]]-Tabla1[[#This Row],[VENTAS NETAS]]-Tabla1[[#This Row],[BASE ANTERIOR]]</f>
        <v>5050</v>
      </c>
    </row>
    <row r="240" spans="1:13" ht="13.5" customHeight="1" x14ac:dyDescent="0.2">
      <c r="A240" s="1">
        <v>6467</v>
      </c>
      <c r="B240" s="2">
        <v>45764</v>
      </c>
      <c r="C240" s="3" t="s">
        <v>184</v>
      </c>
      <c r="D240" s="1" t="s">
        <v>18</v>
      </c>
      <c r="E240" s="1" t="s">
        <v>23</v>
      </c>
      <c r="F240" s="4">
        <v>3893750</v>
      </c>
      <c r="G240" s="4">
        <v>3590000</v>
      </c>
      <c r="H240" s="4">
        <v>180700</v>
      </c>
      <c r="I240" s="4">
        <v>11600</v>
      </c>
      <c r="J240" s="4">
        <v>0</v>
      </c>
      <c r="K240" s="4">
        <v>962050</v>
      </c>
      <c r="L240" s="4">
        <v>849600</v>
      </c>
      <c r="M240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</v>
      </c>
    </row>
    <row r="241" spans="1:13" ht="13.5" customHeight="1" x14ac:dyDescent="0.2">
      <c r="A241" s="1">
        <v>6466</v>
      </c>
      <c r="B241" s="2">
        <v>45764</v>
      </c>
      <c r="C241" s="3" t="s">
        <v>129</v>
      </c>
      <c r="D241" s="1" t="s">
        <v>16</v>
      </c>
      <c r="E241" s="1" t="s">
        <v>22</v>
      </c>
      <c r="F241" s="4">
        <v>4929500</v>
      </c>
      <c r="G241" s="4">
        <v>3947550</v>
      </c>
      <c r="H241" s="4">
        <v>953100</v>
      </c>
      <c r="I241" s="4">
        <v>36800</v>
      </c>
      <c r="K241" s="4">
        <v>849600</v>
      </c>
      <c r="L241" s="4">
        <v>843050</v>
      </c>
      <c r="M241" s="4">
        <f>Tabla1[[#This Row],[BASE DEL DIA]]+Tabla1[[#This Row],[ENTREGAS]]+Tabla1[[#This Row],[TARJETAS]]+Tabla1[[#This Row],[NEQUI O QR]]+Tabla1[[#This Row],[VENTAS FE.CREDITO]]-Tabla1[[#This Row],[VENTAS NETAS]]-Tabla1[[#This Row],[BASE ANTERIOR]]</f>
        <v>14500</v>
      </c>
    </row>
    <row r="242" spans="1:13" ht="13.5" customHeight="1" x14ac:dyDescent="0.2">
      <c r="B242" s="2">
        <v>45763</v>
      </c>
      <c r="C242" s="3" t="s">
        <v>107</v>
      </c>
      <c r="D242" s="1" t="s">
        <v>18</v>
      </c>
      <c r="E242" s="1" t="s">
        <v>22</v>
      </c>
      <c r="F242" s="4">
        <v>6018000</v>
      </c>
      <c r="G242" s="4">
        <v>5435300</v>
      </c>
      <c r="H242" s="4">
        <v>302200</v>
      </c>
      <c r="I242" s="4">
        <v>192400</v>
      </c>
      <c r="J242" s="4">
        <v>61800</v>
      </c>
      <c r="K242" s="4">
        <v>843050</v>
      </c>
      <c r="L242" s="4">
        <v>806550</v>
      </c>
      <c r="M242" s="4">
        <f>Tabla1[[#This Row],[BASE DEL DIA]]+Tabla1[[#This Row],[ENTREGAS]]+Tabla1[[#This Row],[TARJETAS]]+Tabla1[[#This Row],[NEQUI O QR]]+Tabla1[[#This Row],[VENTAS FE.CREDITO]]-Tabla1[[#This Row],[VENTAS NETAS]]-Tabla1[[#This Row],[BASE ANTERIOR]]</f>
        <v>10200</v>
      </c>
    </row>
    <row r="243" spans="1:13" ht="13.5" customHeight="1" x14ac:dyDescent="0.2">
      <c r="A243" s="1">
        <v>6464</v>
      </c>
      <c r="B243" s="2">
        <v>45763</v>
      </c>
      <c r="C243" s="3" t="s">
        <v>80</v>
      </c>
      <c r="D243" s="1" t="s">
        <v>18</v>
      </c>
      <c r="E243" s="1" t="s">
        <v>22</v>
      </c>
      <c r="F243" s="4">
        <v>4149900</v>
      </c>
      <c r="G243" s="4">
        <v>3876700</v>
      </c>
      <c r="H243" s="4">
        <v>239500</v>
      </c>
      <c r="I243" s="4">
        <v>173900</v>
      </c>
      <c r="J243" s="4">
        <v>13300</v>
      </c>
      <c r="K243" s="4">
        <v>806550</v>
      </c>
      <c r="L243" s="4">
        <v>959200</v>
      </c>
      <c r="M243" s="4">
        <f>Tabla1[[#This Row],[BASE DEL DIA]]+Tabla1[[#This Row],[ENTREGAS]]+Tabla1[[#This Row],[TARJETAS]]+Tabla1[[#This Row],[NEQUI O QR]]+Tabla1[[#This Row],[VENTAS FE.CREDITO]]-Tabla1[[#This Row],[VENTAS NETAS]]-Tabla1[[#This Row],[BASE ANTERIOR]]</f>
        <v>850</v>
      </c>
    </row>
    <row r="244" spans="1:13" ht="13.5" customHeight="1" x14ac:dyDescent="0.2">
      <c r="A244" s="1">
        <v>6463</v>
      </c>
      <c r="B244" s="2">
        <v>45762</v>
      </c>
      <c r="C244" s="3" t="s">
        <v>106</v>
      </c>
      <c r="D244" s="1" t="s">
        <v>18</v>
      </c>
      <c r="E244" s="1" t="s">
        <v>23</v>
      </c>
      <c r="F244" s="4">
        <v>4544900</v>
      </c>
      <c r="G244" s="4">
        <v>3890000</v>
      </c>
      <c r="H244" s="4">
        <v>297700</v>
      </c>
      <c r="I244" s="4">
        <v>205200</v>
      </c>
      <c r="J244" s="4">
        <v>1900</v>
      </c>
      <c r="K244" s="4">
        <v>959200</v>
      </c>
      <c r="L244" s="4">
        <v>807200</v>
      </c>
      <c r="M244" s="4">
        <f>Tabla1[[#This Row],[BASE DEL DIA]]+Tabla1[[#This Row],[ENTREGAS]]+Tabla1[[#This Row],[TARJETAS]]+Tabla1[[#This Row],[NEQUI O QR]]+Tabla1[[#This Row],[VENTAS FE.CREDITO]]-Tabla1[[#This Row],[VENTAS NETAS]]-Tabla1[[#This Row],[BASE ANTERIOR]]</f>
        <v>1900</v>
      </c>
    </row>
    <row r="245" spans="1:13" ht="13.5" customHeight="1" x14ac:dyDescent="0.2">
      <c r="A245" s="1">
        <v>6462</v>
      </c>
      <c r="B245" s="2">
        <v>45762</v>
      </c>
      <c r="C245" s="3" t="s">
        <v>39</v>
      </c>
      <c r="D245" s="1" t="s">
        <v>16</v>
      </c>
      <c r="E245" s="1" t="s">
        <v>22</v>
      </c>
      <c r="F245" s="4">
        <v>2719300</v>
      </c>
      <c r="G245" s="4">
        <v>2425600</v>
      </c>
      <c r="H245" s="4">
        <v>337800</v>
      </c>
      <c r="I245" s="4">
        <v>4500</v>
      </c>
      <c r="J245" s="4">
        <v>24700</v>
      </c>
      <c r="K245" s="4">
        <v>807200</v>
      </c>
      <c r="L245" s="4">
        <v>883100</v>
      </c>
      <c r="M245" s="4">
        <f>Tabla1[[#This Row],[BASE DEL DIA]]+Tabla1[[#This Row],[ENTREGAS]]+Tabla1[[#This Row],[TARJETAS]]+Tabla1[[#This Row],[NEQUI O QR]]+Tabla1[[#This Row],[VENTAS FE.CREDITO]]-Tabla1[[#This Row],[VENTAS NETAS]]-Tabla1[[#This Row],[BASE ANTERIOR]]</f>
        <v>-2600</v>
      </c>
    </row>
    <row r="246" spans="1:13" ht="13.5" customHeight="1" x14ac:dyDescent="0.2">
      <c r="A246" s="1">
        <v>6461</v>
      </c>
      <c r="B246" s="2">
        <v>45761</v>
      </c>
      <c r="C246" s="3" t="s">
        <v>66</v>
      </c>
      <c r="D246" s="1" t="s">
        <v>16</v>
      </c>
      <c r="E246" s="1" t="s">
        <v>22</v>
      </c>
      <c r="F246" s="4">
        <v>4663300</v>
      </c>
      <c r="G246" s="4">
        <v>4112800</v>
      </c>
      <c r="H246" s="4">
        <v>286700</v>
      </c>
      <c r="I246" s="4">
        <v>61700</v>
      </c>
      <c r="J246" s="4">
        <v>77200</v>
      </c>
      <c r="K246" s="4">
        <v>883100</v>
      </c>
      <c r="L246" s="4">
        <v>757200</v>
      </c>
      <c r="M246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</v>
      </c>
    </row>
    <row r="247" spans="1:13" ht="13.5" customHeight="1" x14ac:dyDescent="0.2">
      <c r="A247" s="1">
        <v>6460</v>
      </c>
      <c r="B247" s="2">
        <v>45761</v>
      </c>
      <c r="C247" s="3" t="s">
        <v>74</v>
      </c>
      <c r="D247" s="1" t="s">
        <v>60</v>
      </c>
      <c r="E247" s="1" t="s">
        <v>22</v>
      </c>
      <c r="F247" s="4">
        <v>1630500</v>
      </c>
      <c r="G247" s="4">
        <v>1626300</v>
      </c>
      <c r="H247" s="4">
        <v>60000</v>
      </c>
      <c r="I247" s="4">
        <v>6900</v>
      </c>
      <c r="J247" s="4">
        <v>19300</v>
      </c>
      <c r="K247" s="4">
        <v>757200</v>
      </c>
      <c r="L247" s="4">
        <v>838400</v>
      </c>
      <c r="M247" s="4">
        <f>Tabla1[[#This Row],[BASE DEL DIA]]+Tabla1[[#This Row],[ENTREGAS]]+Tabla1[[#This Row],[TARJETAS]]+Tabla1[[#This Row],[NEQUI O QR]]+Tabla1[[#This Row],[VENTAS FE.CREDITO]]-Tabla1[[#This Row],[VENTAS NETAS]]-Tabla1[[#This Row],[BASE ANTERIOR]]</f>
        <v>800</v>
      </c>
    </row>
    <row r="248" spans="1:13" ht="13.5" customHeight="1" x14ac:dyDescent="0.2">
      <c r="B248" s="2">
        <v>45760</v>
      </c>
      <c r="C248" s="3" t="s">
        <v>73</v>
      </c>
      <c r="D248" s="1" t="s">
        <v>133</v>
      </c>
      <c r="E248" s="1" t="s">
        <v>22</v>
      </c>
      <c r="F248" s="4">
        <v>3746000</v>
      </c>
      <c r="G248" s="4">
        <v>3350000</v>
      </c>
      <c r="H248" s="4">
        <v>212700</v>
      </c>
      <c r="I248" s="4">
        <v>98700</v>
      </c>
      <c r="J248" s="4">
        <v>0</v>
      </c>
      <c r="K248" s="4">
        <v>838400</v>
      </c>
      <c r="L248" s="4">
        <v>755650</v>
      </c>
      <c r="M248" s="4">
        <f>Tabla1[[#This Row],[BASE DEL DIA]]+Tabla1[[#This Row],[ENTREGAS]]+Tabla1[[#This Row],[TARJETAS]]+Tabla1[[#This Row],[NEQUI O QR]]+Tabla1[[#This Row],[VENTAS FE.CREDITO]]-Tabla1[[#This Row],[VENTAS NETAS]]-Tabla1[[#This Row],[BASE ANTERIOR]]</f>
        <v>-1850</v>
      </c>
    </row>
    <row r="249" spans="1:13" ht="13.5" customHeight="1" x14ac:dyDescent="0.2">
      <c r="A249" s="1">
        <v>6458</v>
      </c>
      <c r="B249" s="2">
        <v>45760</v>
      </c>
      <c r="C249" s="3" t="s">
        <v>109</v>
      </c>
      <c r="D249" s="1" t="s">
        <v>180</v>
      </c>
      <c r="E249" s="1" t="s">
        <v>22</v>
      </c>
      <c r="F249" s="4">
        <v>3487200</v>
      </c>
      <c r="G249" s="4">
        <v>3076700</v>
      </c>
      <c r="H249" s="4">
        <v>526000</v>
      </c>
      <c r="I249" s="4">
        <v>17100</v>
      </c>
      <c r="K249" s="4">
        <v>755650</v>
      </c>
      <c r="L249" s="4">
        <v>895200</v>
      </c>
      <c r="M249" s="4">
        <f>Tabla1[[#This Row],[BASE DEL DIA]]+Tabla1[[#This Row],[ENTREGAS]]+Tabla1[[#This Row],[TARJETAS]]+Tabla1[[#This Row],[NEQUI O QR]]+Tabla1[[#This Row],[VENTAS FE.CREDITO]]-Tabla1[[#This Row],[VENTAS NETAS]]-Tabla1[[#This Row],[BASE ANTERIOR]]</f>
        <v>-6950</v>
      </c>
    </row>
    <row r="250" spans="1:13" ht="13.5" customHeight="1" x14ac:dyDescent="0.2">
      <c r="A250" s="1">
        <v>6457</v>
      </c>
      <c r="B250" s="2">
        <v>45759</v>
      </c>
      <c r="C250" s="3" t="s">
        <v>54</v>
      </c>
      <c r="D250" s="1" t="s">
        <v>180</v>
      </c>
      <c r="E250" s="1" t="s">
        <v>23</v>
      </c>
      <c r="F250" s="4">
        <v>3686100</v>
      </c>
      <c r="G250" s="4">
        <v>3230000</v>
      </c>
      <c r="H250" s="4">
        <v>449500</v>
      </c>
      <c r="I250" s="4">
        <v>15500</v>
      </c>
      <c r="K250" s="4">
        <v>895200</v>
      </c>
      <c r="L250" s="4">
        <v>908800</v>
      </c>
      <c r="M250" s="4">
        <f>Tabla1[[#This Row],[BASE DEL DIA]]+Tabla1[[#This Row],[ENTREGAS]]+Tabla1[[#This Row],[TARJETAS]]+Tabla1[[#This Row],[NEQUI O QR]]+Tabla1[[#This Row],[VENTAS FE.CREDITO]]-Tabla1[[#This Row],[VENTAS NETAS]]-Tabla1[[#This Row],[BASE ANTERIOR]]</f>
        <v>-4700</v>
      </c>
    </row>
    <row r="251" spans="1:13" ht="13.5" customHeight="1" x14ac:dyDescent="0.2">
      <c r="A251" s="1">
        <v>6456</v>
      </c>
      <c r="B251" s="2">
        <v>45759</v>
      </c>
      <c r="C251" s="3" t="s">
        <v>78</v>
      </c>
      <c r="D251" s="1" t="s">
        <v>17</v>
      </c>
      <c r="E251" s="1" t="s">
        <v>22</v>
      </c>
      <c r="F251" s="4">
        <v>2320100</v>
      </c>
      <c r="G251" s="4">
        <v>2092180</v>
      </c>
      <c r="H251" s="4">
        <v>169800</v>
      </c>
      <c r="I251" s="4">
        <v>55200</v>
      </c>
      <c r="K251" s="4">
        <v>908800</v>
      </c>
      <c r="L251" s="4">
        <v>891600</v>
      </c>
      <c r="M251" s="4">
        <f>Tabla1[[#This Row],[BASE DEL DIA]]+Tabla1[[#This Row],[ENTREGAS]]+Tabla1[[#This Row],[TARJETAS]]+Tabla1[[#This Row],[NEQUI O QR]]+Tabla1[[#This Row],[VENTAS FE.CREDITO]]-Tabla1[[#This Row],[VENTAS NETAS]]-Tabla1[[#This Row],[BASE ANTERIOR]]</f>
        <v>14280</v>
      </c>
    </row>
    <row r="252" spans="1:13" ht="13.5" customHeight="1" x14ac:dyDescent="0.2">
      <c r="A252" s="1">
        <v>6455</v>
      </c>
      <c r="B252" s="2">
        <v>45758</v>
      </c>
      <c r="C252" s="3" t="s">
        <v>73</v>
      </c>
      <c r="D252" s="1" t="s">
        <v>17</v>
      </c>
      <c r="E252" s="1" t="s">
        <v>23</v>
      </c>
      <c r="F252" s="4">
        <v>2973900</v>
      </c>
      <c r="G252" s="4">
        <v>2940500</v>
      </c>
      <c r="H252" s="4">
        <v>33400</v>
      </c>
      <c r="I252" s="4">
        <v>14300</v>
      </c>
      <c r="J252" s="4">
        <v>0</v>
      </c>
      <c r="K252" s="4">
        <v>891600</v>
      </c>
      <c r="L252" s="4">
        <v>904300</v>
      </c>
      <c r="M252" s="4">
        <f>Tabla1[[#This Row],[BASE DEL DIA]]+Tabla1[[#This Row],[ENTREGAS]]+Tabla1[[#This Row],[TARJETAS]]+Tabla1[[#This Row],[NEQUI O QR]]+Tabla1[[#This Row],[VENTAS FE.CREDITO]]-Tabla1[[#This Row],[VENTAS NETAS]]-Tabla1[[#This Row],[BASE ANTERIOR]]</f>
        <v>1600</v>
      </c>
    </row>
    <row r="253" spans="1:13" ht="13.5" customHeight="1" x14ac:dyDescent="0.2">
      <c r="A253" s="1">
        <v>6454</v>
      </c>
      <c r="B253" s="2">
        <v>45758</v>
      </c>
      <c r="C253" s="3" t="s">
        <v>49</v>
      </c>
      <c r="D253" s="1" t="s">
        <v>180</v>
      </c>
      <c r="E253" s="1" t="s">
        <v>23</v>
      </c>
      <c r="F253" s="4">
        <v>2511400</v>
      </c>
      <c r="G253" s="4">
        <v>2464000</v>
      </c>
      <c r="H253" s="4">
        <v>10200</v>
      </c>
      <c r="I253" s="4">
        <v>51800</v>
      </c>
      <c r="J253" s="4">
        <v>15800</v>
      </c>
      <c r="K253" s="4">
        <v>904300</v>
      </c>
      <c r="L253" s="4">
        <v>933750</v>
      </c>
      <c r="M253" s="4">
        <f>Tabla1[[#This Row],[BASE DEL DIA]]+Tabla1[[#This Row],[ENTREGAS]]+Tabla1[[#This Row],[TARJETAS]]+Tabla1[[#This Row],[NEQUI O QR]]+Tabla1[[#This Row],[VENTAS FE.CREDITO]]-Tabla1[[#This Row],[VENTAS NETAS]]-Tabla1[[#This Row],[BASE ANTERIOR]]</f>
        <v>950</v>
      </c>
    </row>
    <row r="254" spans="1:13" ht="13.5" customHeight="1" x14ac:dyDescent="0.2">
      <c r="A254" s="1">
        <v>6453</v>
      </c>
      <c r="B254" s="2">
        <v>45757</v>
      </c>
      <c r="C254" s="3" t="s">
        <v>54</v>
      </c>
      <c r="D254" s="1" t="s">
        <v>180</v>
      </c>
      <c r="E254" s="1" t="s">
        <v>23</v>
      </c>
      <c r="F254" s="4">
        <v>3386600</v>
      </c>
      <c r="G254" s="4">
        <v>2840000</v>
      </c>
      <c r="H254" s="4">
        <v>346300</v>
      </c>
      <c r="I254" s="4">
        <v>93600</v>
      </c>
      <c r="J254" s="4">
        <v>27500</v>
      </c>
      <c r="K254" s="4">
        <v>933750</v>
      </c>
      <c r="L254" s="4">
        <v>854000</v>
      </c>
      <c r="M254" s="4">
        <f>Tabla1[[#This Row],[BASE DEL DIA]]+Tabla1[[#This Row],[ENTREGAS]]+Tabla1[[#This Row],[TARJETAS]]+Tabla1[[#This Row],[NEQUI O QR]]+Tabla1[[#This Row],[VENTAS FE.CREDITO]]-Tabla1[[#This Row],[VENTAS NETAS]]-Tabla1[[#This Row],[BASE ANTERIOR]]</f>
        <v>550</v>
      </c>
    </row>
    <row r="255" spans="1:13" ht="13.5" customHeight="1" x14ac:dyDescent="0.2">
      <c r="A255" s="1">
        <v>6752</v>
      </c>
      <c r="B255" s="2">
        <v>45757</v>
      </c>
      <c r="C255" s="3" t="s">
        <v>177</v>
      </c>
      <c r="D255" s="1" t="s">
        <v>19</v>
      </c>
      <c r="E255" s="1" t="s">
        <v>22</v>
      </c>
      <c r="F255" s="4">
        <v>1775600</v>
      </c>
      <c r="G255" s="4">
        <v>1813000</v>
      </c>
      <c r="H255" s="4">
        <v>23500</v>
      </c>
      <c r="K255" s="4">
        <v>854000</v>
      </c>
      <c r="L255" s="4">
        <v>914300</v>
      </c>
      <c r="M255" s="4">
        <f>Tabla1[[#This Row],[BASE DEL DIA]]+Tabla1[[#This Row],[ENTREGAS]]+Tabla1[[#This Row],[TARJETAS]]+Tabla1[[#This Row],[NEQUI O QR]]+Tabla1[[#This Row],[VENTAS FE.CREDITO]]-Tabla1[[#This Row],[VENTAS NETAS]]-Tabla1[[#This Row],[BASE ANTERIOR]]</f>
        <v>600</v>
      </c>
    </row>
    <row r="256" spans="1:13" ht="13.5" customHeight="1" x14ac:dyDescent="0.2">
      <c r="A256" s="1">
        <v>6451</v>
      </c>
      <c r="B256" s="2">
        <v>45756</v>
      </c>
      <c r="C256" s="3" t="s">
        <v>96</v>
      </c>
      <c r="D256" s="1" t="s">
        <v>17</v>
      </c>
      <c r="E256" s="1" t="s">
        <v>23</v>
      </c>
      <c r="F256" s="4">
        <v>3262300</v>
      </c>
      <c r="G256" s="4">
        <v>3110600</v>
      </c>
      <c r="H256" s="4">
        <v>83800</v>
      </c>
      <c r="I256" s="4">
        <v>0</v>
      </c>
      <c r="J256" s="4">
        <v>0</v>
      </c>
      <c r="K256" s="4">
        <v>914300</v>
      </c>
      <c r="L256" s="4">
        <v>845800</v>
      </c>
      <c r="M256" s="4">
        <f>Tabla1[[#This Row],[BASE DEL DIA]]+Tabla1[[#This Row],[ENTREGAS]]+Tabla1[[#This Row],[TARJETAS]]+Tabla1[[#This Row],[NEQUI O QR]]+Tabla1[[#This Row],[VENTAS FE.CREDITO]]-Tabla1[[#This Row],[VENTAS NETAS]]-Tabla1[[#This Row],[BASE ANTERIOR]]</f>
        <v>600</v>
      </c>
    </row>
    <row r="257" spans="1:13" ht="13.5" customHeight="1" x14ac:dyDescent="0.2">
      <c r="A257" s="1">
        <v>6450</v>
      </c>
      <c r="B257" s="2">
        <v>45756</v>
      </c>
      <c r="C257" s="3" t="s">
        <v>183</v>
      </c>
      <c r="D257" s="1" t="s">
        <v>180</v>
      </c>
      <c r="E257" s="1" t="s">
        <v>22</v>
      </c>
      <c r="F257" s="4">
        <v>2203600</v>
      </c>
      <c r="G257" s="4">
        <v>1995000</v>
      </c>
      <c r="H257" s="4">
        <v>62000</v>
      </c>
      <c r="I257" s="4">
        <v>114000</v>
      </c>
      <c r="J257" s="4">
        <v>57100</v>
      </c>
      <c r="K257" s="4">
        <v>845800</v>
      </c>
      <c r="L257" s="4">
        <v>868700</v>
      </c>
      <c r="M257" s="4">
        <f>Tabla1[[#This Row],[BASE DEL DIA]]+Tabla1[[#This Row],[ENTREGAS]]+Tabla1[[#This Row],[TARJETAS]]+Tabla1[[#This Row],[NEQUI O QR]]+Tabla1[[#This Row],[VENTAS FE.CREDITO]]-Tabla1[[#This Row],[VENTAS NETAS]]-Tabla1[[#This Row],[BASE ANTERIOR]]</f>
        <v>1600</v>
      </c>
    </row>
    <row r="258" spans="1:13" ht="13.5" customHeight="1" x14ac:dyDescent="0.2">
      <c r="A258" s="1">
        <v>6449</v>
      </c>
      <c r="B258" s="2">
        <v>45755</v>
      </c>
      <c r="C258" s="3" t="s">
        <v>72</v>
      </c>
      <c r="D258" s="1" t="s">
        <v>17</v>
      </c>
      <c r="E258" s="1" t="s">
        <v>24</v>
      </c>
      <c r="F258" s="4">
        <v>6897200</v>
      </c>
      <c r="G258" s="4">
        <v>6349150</v>
      </c>
      <c r="H258" s="4">
        <v>338500</v>
      </c>
      <c r="I258" s="4">
        <v>189000</v>
      </c>
      <c r="J258" s="4">
        <v>0</v>
      </c>
      <c r="K258" s="4">
        <v>868700</v>
      </c>
      <c r="L258" s="4">
        <v>844900</v>
      </c>
      <c r="M258" s="4">
        <f>Tabla1[[#This Row],[BASE DEL DIA]]+Tabla1[[#This Row],[ENTREGAS]]+Tabla1[[#This Row],[TARJETAS]]+Tabla1[[#This Row],[NEQUI O QR]]+Tabla1[[#This Row],[VENTAS FE.CREDITO]]-Tabla1[[#This Row],[VENTAS NETAS]]-Tabla1[[#This Row],[BASE ANTERIOR]]</f>
        <v>3250</v>
      </c>
    </row>
    <row r="259" spans="1:13" ht="13.5" customHeight="1" x14ac:dyDescent="0.2">
      <c r="A259" s="1">
        <v>6448</v>
      </c>
      <c r="B259" s="2">
        <v>45754</v>
      </c>
      <c r="C259" s="3" t="s">
        <v>106</v>
      </c>
      <c r="D259" s="1" t="s">
        <v>17</v>
      </c>
      <c r="E259" s="1" t="s">
        <v>22</v>
      </c>
      <c r="F259" s="4">
        <v>4703700</v>
      </c>
      <c r="G259" s="4">
        <v>4169500</v>
      </c>
      <c r="H259" s="4">
        <v>297000</v>
      </c>
      <c r="I259" s="4">
        <v>188200</v>
      </c>
      <c r="J259" s="4">
        <v>15800</v>
      </c>
      <c r="K259" s="4">
        <v>816650</v>
      </c>
      <c r="L259" s="4">
        <v>816650</v>
      </c>
      <c r="M259" s="4">
        <f>Tabla1[[#This Row],[BASE DEL DIA]]+Tabla1[[#This Row],[ENTREGAS]]+Tabla1[[#This Row],[TARJETAS]]+Tabla1[[#This Row],[NEQUI O QR]]+Tabla1[[#This Row],[VENTAS FE.CREDITO]]-Tabla1[[#This Row],[VENTAS NETAS]]-Tabla1[[#This Row],[BASE ANTERIOR]]</f>
        <v>-33200</v>
      </c>
    </row>
    <row r="260" spans="1:13" ht="13.5" customHeight="1" x14ac:dyDescent="0.2">
      <c r="A260" s="1">
        <v>6447</v>
      </c>
      <c r="B260" s="2">
        <v>45754</v>
      </c>
      <c r="C260" s="3" t="s">
        <v>101</v>
      </c>
      <c r="D260" s="1" t="s">
        <v>180</v>
      </c>
      <c r="E260" s="1" t="s">
        <v>22</v>
      </c>
      <c r="F260" s="4">
        <v>2017200</v>
      </c>
      <c r="G260" s="4">
        <v>1899000</v>
      </c>
      <c r="H260" s="4">
        <v>103000</v>
      </c>
      <c r="I260" s="4">
        <v>48600</v>
      </c>
      <c r="K260" s="4">
        <v>816650</v>
      </c>
      <c r="L260" s="4">
        <v>850300</v>
      </c>
      <c r="M260" s="4">
        <f>Tabla1[[#This Row],[BASE DEL DIA]]+Tabla1[[#This Row],[ENTREGAS]]+Tabla1[[#This Row],[TARJETAS]]+Tabla1[[#This Row],[NEQUI O QR]]+Tabla1[[#This Row],[VENTAS FE.CREDITO]]-Tabla1[[#This Row],[VENTAS NETAS]]-Tabla1[[#This Row],[BASE ANTERIOR]]</f>
        <v>-250</v>
      </c>
    </row>
    <row r="261" spans="1:13" ht="13.5" customHeight="1" x14ac:dyDescent="0.2">
      <c r="A261" s="1">
        <v>6428</v>
      </c>
      <c r="B261" s="2">
        <v>45745</v>
      </c>
      <c r="C261" s="3" t="s">
        <v>52</v>
      </c>
      <c r="D261" s="1" t="s">
        <v>180</v>
      </c>
      <c r="E261" s="1" t="s">
        <v>23</v>
      </c>
      <c r="F261" s="4">
        <v>4293300</v>
      </c>
      <c r="G261" s="4">
        <v>4210000</v>
      </c>
      <c r="H261" s="4">
        <v>109800</v>
      </c>
      <c r="I261" s="4">
        <v>20500</v>
      </c>
      <c r="K261" s="4">
        <v>788300</v>
      </c>
      <c r="L261" s="4">
        <v>839800</v>
      </c>
      <c r="M261" s="4">
        <f>Tabla1[[#This Row],[BASE DEL DIA]]+Tabla1[[#This Row],[ENTREGAS]]+Tabla1[[#This Row],[TARJETAS]]+Tabla1[[#This Row],[NEQUI O QR]]+Tabla1[[#This Row],[VENTAS FE.CREDITO]]-Tabla1[[#This Row],[VENTAS NETAS]]-Tabla1[[#This Row],[BASE ANTERIOR]]</f>
        <v>-4500</v>
      </c>
    </row>
    <row r="262" spans="1:13" ht="13.5" customHeight="1" x14ac:dyDescent="0.2">
      <c r="A262" s="1">
        <v>6427</v>
      </c>
      <c r="B262" s="2">
        <v>45745</v>
      </c>
      <c r="C262" s="3" t="s">
        <v>144</v>
      </c>
      <c r="D262" s="1" t="s">
        <v>17</v>
      </c>
      <c r="E262" s="1" t="s">
        <v>22</v>
      </c>
      <c r="F262" s="4">
        <v>3163300</v>
      </c>
      <c r="G262" s="4">
        <v>2835440</v>
      </c>
      <c r="H262" s="4">
        <v>373900</v>
      </c>
      <c r="I262" s="4">
        <v>25900</v>
      </c>
      <c r="K262" s="4">
        <v>839800</v>
      </c>
      <c r="L262" s="4">
        <v>916450</v>
      </c>
      <c r="M262" s="4">
        <f>Tabla1[[#This Row],[BASE DEL DIA]]+Tabla1[[#This Row],[ENTREGAS]]+Tabla1[[#This Row],[TARJETAS]]+Tabla1[[#This Row],[NEQUI O QR]]+Tabla1[[#This Row],[VENTAS FE.CREDITO]]-Tabla1[[#This Row],[VENTAS NETAS]]-Tabla1[[#This Row],[BASE ANTERIOR]]</f>
        <v>-4710</v>
      </c>
    </row>
    <row r="263" spans="1:13" ht="13.5" customHeight="1" x14ac:dyDescent="0.2">
      <c r="B263" s="2">
        <v>45744</v>
      </c>
      <c r="C263" s="3" t="s">
        <v>96</v>
      </c>
      <c r="D263" s="1" t="s">
        <v>17</v>
      </c>
      <c r="E263" s="1" t="s">
        <v>23</v>
      </c>
      <c r="F263" s="4">
        <v>3091250</v>
      </c>
      <c r="G263" s="4">
        <v>2790000</v>
      </c>
      <c r="H263" s="4">
        <v>162000</v>
      </c>
      <c r="I263" s="4">
        <v>50200</v>
      </c>
      <c r="J263" s="4">
        <v>0</v>
      </c>
      <c r="K263" s="4">
        <v>916450</v>
      </c>
      <c r="L263" s="4">
        <v>828150</v>
      </c>
      <c r="M263" s="4">
        <f>Tabla1[[#This Row],[BASE DEL DIA]]+Tabla1[[#This Row],[ENTREGAS]]+Tabla1[[#This Row],[TARJETAS]]+Tabla1[[#This Row],[NEQUI O QR]]+Tabla1[[#This Row],[VENTAS FE.CREDITO]]-Tabla1[[#This Row],[VENTAS NETAS]]-Tabla1[[#This Row],[BASE ANTERIOR]]</f>
        <v>-750</v>
      </c>
    </row>
    <row r="264" spans="1:13" ht="13.5" customHeight="1" x14ac:dyDescent="0.2">
      <c r="A264" s="1">
        <v>6425</v>
      </c>
      <c r="B264" s="2">
        <v>45744</v>
      </c>
      <c r="C264" s="3" t="s">
        <v>78</v>
      </c>
      <c r="D264" s="1" t="s">
        <v>180</v>
      </c>
      <c r="E264" s="1" t="s">
        <v>22</v>
      </c>
      <c r="F264" s="4">
        <v>1789800</v>
      </c>
      <c r="G264" s="4">
        <v>1780000</v>
      </c>
      <c r="H264" s="4">
        <v>38200</v>
      </c>
      <c r="I264" s="4">
        <v>4200</v>
      </c>
      <c r="J264" s="4">
        <v>7900</v>
      </c>
      <c r="K264" s="4">
        <v>828150</v>
      </c>
      <c r="L264" s="4">
        <v>870400</v>
      </c>
      <c r="M264" s="4">
        <f>Tabla1[[#This Row],[BASE DEL DIA]]+Tabla1[[#This Row],[ENTREGAS]]+Tabla1[[#This Row],[TARJETAS]]+Tabla1[[#This Row],[NEQUI O QR]]+Tabla1[[#This Row],[VENTAS FE.CREDITO]]-Tabla1[[#This Row],[VENTAS NETAS]]-Tabla1[[#This Row],[BASE ANTERIOR]]</f>
        <v>-1750</v>
      </c>
    </row>
    <row r="265" spans="1:13" ht="13.5" customHeight="1" x14ac:dyDescent="0.2">
      <c r="A265" s="1">
        <v>6424</v>
      </c>
      <c r="B265" s="2">
        <v>45743</v>
      </c>
      <c r="C265" s="3" t="s">
        <v>182</v>
      </c>
      <c r="D265" s="1" t="s">
        <v>180</v>
      </c>
      <c r="E265" s="1" t="s">
        <v>22</v>
      </c>
      <c r="F265" s="4">
        <v>3080200</v>
      </c>
      <c r="G265" s="4">
        <v>2956000</v>
      </c>
      <c r="H265" s="4">
        <v>80300</v>
      </c>
      <c r="I265" s="4">
        <v>22700</v>
      </c>
      <c r="K265" s="4">
        <v>870400</v>
      </c>
      <c r="L265" s="4">
        <v>848200</v>
      </c>
      <c r="M265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</v>
      </c>
    </row>
    <row r="266" spans="1:13" ht="13.5" customHeight="1" x14ac:dyDescent="0.2">
      <c r="A266" s="1">
        <v>6423</v>
      </c>
      <c r="B266" s="2">
        <v>45743</v>
      </c>
      <c r="C266" s="3" t="s">
        <v>91</v>
      </c>
      <c r="D266" s="1" t="s">
        <v>17</v>
      </c>
      <c r="E266" s="1" t="s">
        <v>22</v>
      </c>
      <c r="F266" s="4">
        <v>2089200</v>
      </c>
      <c r="G266" s="4">
        <v>1855250</v>
      </c>
      <c r="H266" s="4">
        <v>189500</v>
      </c>
      <c r="I266" s="4">
        <v>92000</v>
      </c>
      <c r="K266" s="4">
        <v>848200</v>
      </c>
      <c r="L266" s="4">
        <v>896900</v>
      </c>
      <c r="M266" s="4">
        <f>Tabla1[[#This Row],[BASE DEL DIA]]+Tabla1[[#This Row],[ENTREGAS]]+Tabla1[[#This Row],[TARJETAS]]+Tabla1[[#This Row],[NEQUI O QR]]+Tabla1[[#This Row],[VENTAS FE.CREDITO]]-Tabla1[[#This Row],[VENTAS NETAS]]-Tabla1[[#This Row],[BASE ANTERIOR]]</f>
        <v>-1150</v>
      </c>
    </row>
    <row r="267" spans="1:13" ht="13.5" customHeight="1" x14ac:dyDescent="0.2">
      <c r="A267" s="1">
        <v>6422</v>
      </c>
      <c r="B267" s="2">
        <v>45742</v>
      </c>
      <c r="C267" s="3" t="s">
        <v>72</v>
      </c>
      <c r="D267" s="1" t="s">
        <v>17</v>
      </c>
      <c r="E267" s="1" t="s">
        <v>23</v>
      </c>
      <c r="F267" s="4">
        <v>3165600</v>
      </c>
      <c r="G267" s="4">
        <v>2694000</v>
      </c>
      <c r="H267" s="4">
        <v>422000</v>
      </c>
      <c r="I267" s="4">
        <v>96600</v>
      </c>
      <c r="J267" s="4">
        <v>0</v>
      </c>
      <c r="K267" s="4">
        <v>896900</v>
      </c>
      <c r="L267" s="4">
        <v>937900</v>
      </c>
      <c r="M267" s="4">
        <f>Tabla1[[#This Row],[BASE DEL DIA]]+Tabla1[[#This Row],[ENTREGAS]]+Tabla1[[#This Row],[TARJETAS]]+Tabla1[[#This Row],[NEQUI O QR]]+Tabla1[[#This Row],[VENTAS FE.CREDITO]]-Tabla1[[#This Row],[VENTAS NETAS]]-Tabla1[[#This Row],[BASE ANTERIOR]]</f>
        <v>6000</v>
      </c>
    </row>
    <row r="268" spans="1:13" ht="13.5" customHeight="1" x14ac:dyDescent="0.2">
      <c r="A268" s="1">
        <v>6421</v>
      </c>
      <c r="B268" s="2">
        <v>45742</v>
      </c>
      <c r="C268" s="3" t="s">
        <v>59</v>
      </c>
      <c r="D268" s="1" t="s">
        <v>180</v>
      </c>
      <c r="E268" s="1" t="s">
        <v>22</v>
      </c>
      <c r="F268" s="4">
        <v>1787200</v>
      </c>
      <c r="G268" s="4">
        <v>1766700</v>
      </c>
      <c r="H268" s="4">
        <v>38300</v>
      </c>
      <c r="I268" s="4">
        <v>7400</v>
      </c>
      <c r="K268" s="4">
        <v>937900</v>
      </c>
      <c r="L268" s="4">
        <v>862450</v>
      </c>
      <c r="M268" s="4">
        <f>Tabla1[[#This Row],[BASE DEL DIA]]+Tabla1[[#This Row],[ENTREGAS]]+Tabla1[[#This Row],[TARJETAS]]+Tabla1[[#This Row],[NEQUI O QR]]+Tabla1[[#This Row],[VENTAS FE.CREDITO]]-Tabla1[[#This Row],[VENTAS NETAS]]-Tabla1[[#This Row],[BASE ANTERIOR]]</f>
        <v>100650</v>
      </c>
    </row>
    <row r="269" spans="1:13" ht="13.5" customHeight="1" x14ac:dyDescent="0.2">
      <c r="A269" s="1">
        <v>6420</v>
      </c>
      <c r="B269" s="2">
        <v>45741</v>
      </c>
      <c r="C269" s="3" t="s">
        <v>83</v>
      </c>
      <c r="D269" s="1" t="s">
        <v>180</v>
      </c>
      <c r="E269" s="1" t="s">
        <v>23</v>
      </c>
      <c r="F269" s="4">
        <v>3244700</v>
      </c>
      <c r="G269" s="4">
        <v>2815200</v>
      </c>
      <c r="H269" s="4">
        <v>266100</v>
      </c>
      <c r="I269" s="4">
        <v>61600</v>
      </c>
      <c r="J269" s="4">
        <v>15700</v>
      </c>
      <c r="K269" s="4">
        <v>862450</v>
      </c>
      <c r="L269" s="4">
        <v>773750</v>
      </c>
      <c r="M269" s="4">
        <f>Tabla1[[#This Row],[BASE DEL DIA]]+Tabla1[[#This Row],[ENTREGAS]]+Tabla1[[#This Row],[TARJETAS]]+Tabla1[[#This Row],[NEQUI O QR]]+Tabla1[[#This Row],[VENTAS FE.CREDITO]]-Tabla1[[#This Row],[VENTAS NETAS]]-Tabla1[[#This Row],[BASE ANTERIOR]]</f>
        <v>2600</v>
      </c>
    </row>
    <row r="270" spans="1:13" ht="13.5" customHeight="1" x14ac:dyDescent="0.2">
      <c r="A270" s="1">
        <v>6419</v>
      </c>
      <c r="B270" s="2">
        <v>45741</v>
      </c>
      <c r="C270" s="3" t="s">
        <v>111</v>
      </c>
      <c r="D270" s="1" t="s">
        <v>19</v>
      </c>
      <c r="E270" s="1" t="s">
        <v>22</v>
      </c>
      <c r="F270" s="4">
        <v>1953900</v>
      </c>
      <c r="G270" s="4">
        <v>1994500</v>
      </c>
      <c r="H270" s="4">
        <v>64000</v>
      </c>
      <c r="I270" s="4">
        <v>8500</v>
      </c>
      <c r="K270" s="4">
        <v>773750</v>
      </c>
      <c r="L270" s="4">
        <v>883550</v>
      </c>
      <c r="M270" s="4">
        <f>Tabla1[[#This Row],[BASE DEL DIA]]+Tabla1[[#This Row],[ENTREGAS]]+Tabla1[[#This Row],[TARJETAS]]+Tabla1[[#This Row],[NEQUI O QR]]+Tabla1[[#This Row],[VENTAS FE.CREDITO]]-Tabla1[[#This Row],[VENTAS NETAS]]-Tabla1[[#This Row],[BASE ANTERIOR]]</f>
        <v>3300</v>
      </c>
    </row>
    <row r="271" spans="1:13" ht="13.5" customHeight="1" x14ac:dyDescent="0.2">
      <c r="A271" s="1">
        <v>6418</v>
      </c>
      <c r="B271" s="2">
        <v>45740</v>
      </c>
      <c r="C271" s="3" t="s">
        <v>105</v>
      </c>
      <c r="D271" s="1" t="s">
        <v>17</v>
      </c>
      <c r="E271" s="1" t="s">
        <v>23</v>
      </c>
      <c r="F271" s="4">
        <v>3734700</v>
      </c>
      <c r="G271" s="4">
        <v>3528000</v>
      </c>
      <c r="H271" s="4">
        <v>163300</v>
      </c>
      <c r="I271" s="4">
        <v>40700</v>
      </c>
      <c r="J271" s="4">
        <v>0</v>
      </c>
      <c r="K271" s="4">
        <v>883550</v>
      </c>
      <c r="L271" s="4">
        <v>880500</v>
      </c>
      <c r="M271" s="4">
        <f>Tabla1[[#This Row],[BASE DEL DIA]]+Tabla1[[#This Row],[ENTREGAS]]+Tabla1[[#This Row],[TARJETAS]]+Tabla1[[#This Row],[NEQUI O QR]]+Tabla1[[#This Row],[VENTAS FE.CREDITO]]-Tabla1[[#This Row],[VENTAS NETAS]]-Tabla1[[#This Row],[BASE ANTERIOR]]</f>
        <v>350</v>
      </c>
    </row>
    <row r="272" spans="1:13" ht="13.5" customHeight="1" x14ac:dyDescent="0.2">
      <c r="A272" s="1">
        <v>6417</v>
      </c>
      <c r="B272" s="2">
        <v>45740</v>
      </c>
      <c r="C272" s="3" t="s">
        <v>39</v>
      </c>
      <c r="D272" s="1" t="s">
        <v>180</v>
      </c>
      <c r="E272" s="1" t="s">
        <v>22</v>
      </c>
      <c r="F272" s="4">
        <v>2607877</v>
      </c>
      <c r="G272" s="4">
        <v>2246000</v>
      </c>
      <c r="H272" s="4">
        <v>135377</v>
      </c>
      <c r="I272" s="4">
        <v>173500</v>
      </c>
      <c r="K272" s="4">
        <v>880500</v>
      </c>
      <c r="L272" s="4">
        <v>824350</v>
      </c>
      <c r="M272" s="4">
        <f>Tabla1[[#This Row],[BASE DEL DIA]]+Tabla1[[#This Row],[ENTREGAS]]+Tabla1[[#This Row],[TARJETAS]]+Tabla1[[#This Row],[NEQUI O QR]]+Tabla1[[#This Row],[VENTAS FE.CREDITO]]-Tabla1[[#This Row],[VENTAS NETAS]]-Tabla1[[#This Row],[BASE ANTERIOR]]</f>
        <v>3150</v>
      </c>
    </row>
    <row r="273" spans="1:13" ht="13.5" customHeight="1" x14ac:dyDescent="0.2">
      <c r="A273" s="1">
        <v>6416</v>
      </c>
      <c r="B273" s="2">
        <v>45739</v>
      </c>
      <c r="C273" s="3" t="s">
        <v>40</v>
      </c>
      <c r="D273" s="1" t="s">
        <v>180</v>
      </c>
      <c r="E273" s="1" t="s">
        <v>23</v>
      </c>
      <c r="F273" s="4">
        <v>4058000</v>
      </c>
      <c r="G273" s="4">
        <v>3850000</v>
      </c>
      <c r="H273" s="4">
        <v>146000</v>
      </c>
      <c r="I273" s="4">
        <v>123400</v>
      </c>
      <c r="K273" s="4">
        <v>824350</v>
      </c>
      <c r="L273" s="4">
        <v>884650</v>
      </c>
      <c r="M273" s="4">
        <f>Tabla1[[#This Row],[BASE DEL DIA]]+Tabla1[[#This Row],[ENTREGAS]]+Tabla1[[#This Row],[TARJETAS]]+Tabla1[[#This Row],[NEQUI O QR]]+Tabla1[[#This Row],[VENTAS FE.CREDITO]]-Tabla1[[#This Row],[VENTAS NETAS]]-Tabla1[[#This Row],[BASE ANTERIOR]]</f>
        <v>1100</v>
      </c>
    </row>
    <row r="274" spans="1:13" ht="13.5" customHeight="1" x14ac:dyDescent="0.2">
      <c r="A274" s="1">
        <v>6415</v>
      </c>
      <c r="B274" s="2">
        <v>45739</v>
      </c>
      <c r="C274" s="3" t="s">
        <v>88</v>
      </c>
      <c r="D274" s="1" t="s">
        <v>17</v>
      </c>
      <c r="E274" s="1" t="s">
        <v>22</v>
      </c>
      <c r="F274" s="4">
        <v>3156500</v>
      </c>
      <c r="G274" s="4">
        <v>3079400</v>
      </c>
      <c r="H274" s="4">
        <v>115600</v>
      </c>
      <c r="I274" s="4">
        <v>8500</v>
      </c>
      <c r="J274" s="4">
        <v>11400</v>
      </c>
      <c r="K274" s="4">
        <v>884650</v>
      </c>
      <c r="L274" s="4">
        <v>940400</v>
      </c>
      <c r="M274" s="4">
        <f>Tabla1[[#This Row],[BASE DEL DIA]]+Tabla1[[#This Row],[ENTREGAS]]+Tabla1[[#This Row],[TARJETAS]]+Tabla1[[#This Row],[NEQUI O QR]]+Tabla1[[#This Row],[VENTAS FE.CREDITO]]-Tabla1[[#This Row],[VENTAS NETAS]]-Tabla1[[#This Row],[BASE ANTERIOR]]</f>
        <v>2650</v>
      </c>
    </row>
    <row r="275" spans="1:13" ht="13.5" customHeight="1" x14ac:dyDescent="0.2">
      <c r="A275" s="1">
        <v>6415</v>
      </c>
      <c r="B275" s="2">
        <v>45739</v>
      </c>
      <c r="C275" s="3" t="s">
        <v>181</v>
      </c>
      <c r="D275" s="1" t="s">
        <v>19</v>
      </c>
      <c r="E275" s="1" t="s">
        <v>23</v>
      </c>
      <c r="F275" s="4">
        <v>3180400</v>
      </c>
      <c r="G275" s="4">
        <v>2674650</v>
      </c>
      <c r="H275" s="4">
        <v>285200</v>
      </c>
      <c r="I275" s="4">
        <v>196600</v>
      </c>
      <c r="J275" s="4">
        <v>4200</v>
      </c>
      <c r="K275" s="4">
        <v>940400</v>
      </c>
      <c r="L275" s="4">
        <v>913550</v>
      </c>
      <c r="M275" s="4">
        <f>Tabla1[[#This Row],[BASE DEL DIA]]+Tabla1[[#This Row],[ENTREGAS]]+Tabla1[[#This Row],[TARJETAS]]+Tabla1[[#This Row],[NEQUI O QR]]+Tabla1[[#This Row],[VENTAS FE.CREDITO]]-Tabla1[[#This Row],[VENTAS NETAS]]-Tabla1[[#This Row],[BASE ANTERIOR]]</f>
        <v>7100</v>
      </c>
    </row>
    <row r="276" spans="1:13" ht="13.5" customHeight="1" x14ac:dyDescent="0.2">
      <c r="A276" s="1">
        <v>6414</v>
      </c>
      <c r="B276" s="2">
        <v>45738</v>
      </c>
      <c r="C276" s="3" t="s">
        <v>49</v>
      </c>
      <c r="D276" s="1" t="s">
        <v>180</v>
      </c>
      <c r="E276" s="1" t="s">
        <v>22</v>
      </c>
      <c r="F276" s="4">
        <v>2160000</v>
      </c>
      <c r="G276" s="4">
        <v>2061000</v>
      </c>
      <c r="H276" s="4">
        <v>58500</v>
      </c>
      <c r="I276" s="4">
        <v>28319.8</v>
      </c>
      <c r="K276" s="4">
        <v>913550</v>
      </c>
      <c r="L276" s="4">
        <v>900550</v>
      </c>
      <c r="M276" s="4">
        <f>Tabla1[[#This Row],[BASE DEL DIA]]+Tabla1[[#This Row],[ENTREGAS]]+Tabla1[[#This Row],[TARJETAS]]+Tabla1[[#This Row],[NEQUI O QR]]+Tabla1[[#This Row],[VENTAS FE.CREDITO]]-Tabla1[[#This Row],[VENTAS NETAS]]-Tabla1[[#This Row],[BASE ANTERIOR]]</f>
        <v>819.79999999981374</v>
      </c>
    </row>
    <row r="277" spans="1:13" ht="13.5" customHeight="1" x14ac:dyDescent="0.2">
      <c r="A277" s="1">
        <v>6413</v>
      </c>
      <c r="B277" s="2">
        <v>45737</v>
      </c>
      <c r="C277" s="3" t="s">
        <v>63</v>
      </c>
      <c r="D277" s="1" t="s">
        <v>17</v>
      </c>
      <c r="E277" s="1" t="s">
        <v>23</v>
      </c>
      <c r="F277" s="4">
        <v>3170700</v>
      </c>
      <c r="G277" s="4">
        <v>2810000</v>
      </c>
      <c r="H277" s="4">
        <v>314900</v>
      </c>
      <c r="I277" s="4">
        <v>66000</v>
      </c>
      <c r="J277" s="4">
        <v>0</v>
      </c>
      <c r="K277" s="4">
        <v>900550</v>
      </c>
      <c r="L277" s="4">
        <v>918850</v>
      </c>
      <c r="M277" s="4">
        <f>Tabla1[[#This Row],[BASE DEL DIA]]+Tabla1[[#This Row],[ENTREGAS]]+Tabla1[[#This Row],[TARJETAS]]+Tabla1[[#This Row],[NEQUI O QR]]+Tabla1[[#This Row],[VENTAS FE.CREDITO]]-Tabla1[[#This Row],[VENTAS NETAS]]-Tabla1[[#This Row],[BASE ANTERIOR]]</f>
        <v>1900</v>
      </c>
    </row>
    <row r="278" spans="1:13" ht="13.5" customHeight="1" x14ac:dyDescent="0.2">
      <c r="A278" s="1">
        <v>6412</v>
      </c>
      <c r="B278" s="2">
        <v>45737</v>
      </c>
      <c r="C278" s="3" t="s">
        <v>39</v>
      </c>
      <c r="D278" s="1" t="s">
        <v>179</v>
      </c>
      <c r="E278" s="1" t="s">
        <v>22</v>
      </c>
      <c r="F278" s="4">
        <v>2247000</v>
      </c>
      <c r="G278" s="4">
        <v>2052000</v>
      </c>
      <c r="H278" s="4">
        <v>90400</v>
      </c>
      <c r="K278" s="4">
        <v>918850</v>
      </c>
      <c r="L278" s="4">
        <v>810550</v>
      </c>
      <c r="M278" s="4">
        <f>Tabla1[[#This Row],[BASE DEL DIA]]+Tabla1[[#This Row],[ENTREGAS]]+Tabla1[[#This Row],[TARJETAS]]+Tabla1[[#This Row],[NEQUI O QR]]+Tabla1[[#This Row],[VENTAS FE.CREDITO]]-Tabla1[[#This Row],[VENTAS NETAS]]-Tabla1[[#This Row],[BASE ANTERIOR]]</f>
        <v>3700</v>
      </c>
    </row>
    <row r="279" spans="1:13" ht="13.5" customHeight="1" x14ac:dyDescent="0.2">
      <c r="A279" s="1">
        <v>6411</v>
      </c>
      <c r="B279" s="2">
        <v>45736</v>
      </c>
      <c r="C279" s="3" t="s">
        <v>96</v>
      </c>
      <c r="D279" s="1" t="s">
        <v>17</v>
      </c>
      <c r="E279" s="1" t="s">
        <v>23</v>
      </c>
      <c r="F279" s="4">
        <v>3080600</v>
      </c>
      <c r="G279" s="4">
        <v>3024000</v>
      </c>
      <c r="H279" s="4">
        <v>92500</v>
      </c>
      <c r="I279" s="4">
        <v>60600</v>
      </c>
      <c r="J279" s="4">
        <v>0</v>
      </c>
      <c r="K279" s="4">
        <v>810550</v>
      </c>
      <c r="L279" s="4">
        <v>907450</v>
      </c>
      <c r="M279" s="4">
        <f>Tabla1[[#This Row],[BASE DEL DIA]]+Tabla1[[#This Row],[ENTREGAS]]+Tabla1[[#This Row],[TARJETAS]]+Tabla1[[#This Row],[NEQUI O QR]]+Tabla1[[#This Row],[VENTAS FE.CREDITO]]-Tabla1[[#This Row],[VENTAS NETAS]]-Tabla1[[#This Row],[BASE ANTERIOR]]</f>
        <v>-400</v>
      </c>
    </row>
    <row r="280" spans="1:13" ht="13.5" customHeight="1" x14ac:dyDescent="0.2">
      <c r="A280" s="1">
        <v>6410</v>
      </c>
      <c r="B280" s="2">
        <v>45736</v>
      </c>
      <c r="C280" s="3" t="s">
        <v>81</v>
      </c>
      <c r="D280" s="1" t="s">
        <v>20</v>
      </c>
      <c r="E280" s="1" t="s">
        <v>22</v>
      </c>
      <c r="F280" s="4">
        <v>2370700</v>
      </c>
      <c r="G280" s="4">
        <v>1988100</v>
      </c>
      <c r="H280" s="4">
        <v>351000</v>
      </c>
      <c r="I280" s="4">
        <v>5000</v>
      </c>
      <c r="K280" s="4">
        <v>907450</v>
      </c>
      <c r="L280" s="4">
        <v>879750</v>
      </c>
      <c r="M280" s="4">
        <f>Tabla1[[#This Row],[BASE DEL DIA]]+Tabla1[[#This Row],[ENTREGAS]]+Tabla1[[#This Row],[TARJETAS]]+Tabla1[[#This Row],[NEQUI O QR]]+Tabla1[[#This Row],[VENTAS FE.CREDITO]]-Tabla1[[#This Row],[VENTAS NETAS]]-Tabla1[[#This Row],[BASE ANTERIOR]]</f>
        <v>1100</v>
      </c>
    </row>
    <row r="281" spans="1:13" ht="13.5" customHeight="1" x14ac:dyDescent="0.2">
      <c r="A281" s="1">
        <v>6409</v>
      </c>
      <c r="B281" s="2">
        <v>45735</v>
      </c>
      <c r="C281" s="3" t="s">
        <v>72</v>
      </c>
      <c r="D281" s="1" t="s">
        <v>17</v>
      </c>
      <c r="E281" s="1" t="s">
        <v>23</v>
      </c>
      <c r="F281" s="4">
        <v>4010000</v>
      </c>
      <c r="G281" s="4">
        <v>3623100</v>
      </c>
      <c r="H281" s="4">
        <v>86200</v>
      </c>
      <c r="I281" s="4">
        <v>379800</v>
      </c>
      <c r="J281" s="4">
        <v>0</v>
      </c>
      <c r="K281" s="4">
        <v>879750</v>
      </c>
      <c r="L281" s="4">
        <v>959850</v>
      </c>
      <c r="M281" s="4">
        <f>Tabla1[[#This Row],[BASE DEL DIA]]+Tabla1[[#This Row],[ENTREGAS]]+Tabla1[[#This Row],[TARJETAS]]+Tabla1[[#This Row],[NEQUI O QR]]+Tabla1[[#This Row],[VENTAS FE.CREDITO]]-Tabla1[[#This Row],[VENTAS NETAS]]-Tabla1[[#This Row],[BASE ANTERIOR]]</f>
        <v>-1000</v>
      </c>
    </row>
    <row r="282" spans="1:13" ht="13.5" customHeight="1" x14ac:dyDescent="0.2">
      <c r="A282" s="1">
        <v>6408</v>
      </c>
      <c r="B282" s="2">
        <v>45735</v>
      </c>
      <c r="C282" s="3" t="s">
        <v>142</v>
      </c>
      <c r="D282" s="1" t="s">
        <v>17</v>
      </c>
      <c r="E282" s="1" t="s">
        <v>23</v>
      </c>
      <c r="F282" s="4">
        <v>2836000</v>
      </c>
      <c r="G282" s="4">
        <v>2479701</v>
      </c>
      <c r="H282" s="4">
        <v>142500</v>
      </c>
      <c r="I282" s="4">
        <v>92100</v>
      </c>
      <c r="K282" s="4">
        <v>959850</v>
      </c>
      <c r="L282" s="4">
        <v>849450</v>
      </c>
      <c r="M282" s="4">
        <f>Tabla1[[#This Row],[BASE DEL DIA]]+Tabla1[[#This Row],[ENTREGAS]]+Tabla1[[#This Row],[TARJETAS]]+Tabla1[[#This Row],[NEQUI O QR]]+Tabla1[[#This Row],[VENTAS FE.CREDITO]]-Tabla1[[#This Row],[VENTAS NETAS]]-Tabla1[[#This Row],[BASE ANTERIOR]]</f>
        <v>-11299</v>
      </c>
    </row>
    <row r="283" spans="1:13" ht="13.5" customHeight="1" x14ac:dyDescent="0.2">
      <c r="A283" s="1">
        <v>6407</v>
      </c>
      <c r="B283" s="2">
        <v>45734</v>
      </c>
      <c r="C283" s="3" t="s">
        <v>72</v>
      </c>
      <c r="D283" s="1" t="s">
        <v>17</v>
      </c>
      <c r="E283" s="1" t="s">
        <v>23</v>
      </c>
      <c r="F283" s="4">
        <v>5629600</v>
      </c>
      <c r="G283" s="4">
        <v>5400000</v>
      </c>
      <c r="H283" s="4">
        <v>164100</v>
      </c>
      <c r="I283" s="4">
        <v>98700</v>
      </c>
      <c r="J283" s="4">
        <v>0</v>
      </c>
      <c r="K283" s="4">
        <v>849450</v>
      </c>
      <c r="L283" s="4">
        <v>876700</v>
      </c>
      <c r="M283" s="4">
        <f>Tabla1[[#This Row],[BASE DEL DIA]]+Tabla1[[#This Row],[ENTREGAS]]+Tabla1[[#This Row],[TARJETAS]]+Tabla1[[#This Row],[NEQUI O QR]]+Tabla1[[#This Row],[VENTAS FE.CREDITO]]-Tabla1[[#This Row],[VENTAS NETAS]]-Tabla1[[#This Row],[BASE ANTERIOR]]</f>
        <v>5950</v>
      </c>
    </row>
    <row r="284" spans="1:13" ht="13.5" customHeight="1" x14ac:dyDescent="0.2">
      <c r="A284" s="1">
        <v>6406</v>
      </c>
      <c r="B284" s="2">
        <v>45734</v>
      </c>
      <c r="C284" s="3" t="s">
        <v>108</v>
      </c>
      <c r="D284" s="1" t="s">
        <v>20</v>
      </c>
      <c r="E284" s="1" t="s">
        <v>23</v>
      </c>
      <c r="F284" s="4">
        <v>2152200</v>
      </c>
      <c r="G284" s="4">
        <v>1852700</v>
      </c>
      <c r="H284" s="4">
        <v>162400</v>
      </c>
      <c r="I284" s="4">
        <v>17500</v>
      </c>
      <c r="K284" s="4">
        <v>876700</v>
      </c>
      <c r="L284" s="4">
        <v>759900</v>
      </c>
      <c r="M284" s="4">
        <f>Tabla1[[#This Row],[BASE DEL DIA]]+Tabla1[[#This Row],[ENTREGAS]]+Tabla1[[#This Row],[TARJETAS]]+Tabla1[[#This Row],[NEQUI O QR]]+Tabla1[[#This Row],[VENTAS FE.CREDITO]]-Tabla1[[#This Row],[VENTAS NETAS]]-Tabla1[[#This Row],[BASE ANTERIOR]]</f>
        <v>-2800</v>
      </c>
    </row>
    <row r="285" spans="1:13" ht="13.5" customHeight="1" x14ac:dyDescent="0.2">
      <c r="A285" s="1">
        <v>6405</v>
      </c>
      <c r="B285" s="2">
        <v>45733</v>
      </c>
      <c r="C285" s="3" t="s">
        <v>106</v>
      </c>
      <c r="D285" s="1" t="s">
        <v>20</v>
      </c>
      <c r="E285" s="1" t="s">
        <v>23</v>
      </c>
      <c r="F285" s="4">
        <v>4969000</v>
      </c>
      <c r="G285" s="4">
        <v>4162000</v>
      </c>
      <c r="H285" s="4">
        <v>531100</v>
      </c>
      <c r="I285" s="4">
        <v>188300</v>
      </c>
      <c r="J285" s="4">
        <v>2700</v>
      </c>
      <c r="K285" s="4">
        <v>759900</v>
      </c>
      <c r="L285" s="4">
        <v>673900</v>
      </c>
      <c r="M285" s="4">
        <f>Tabla1[[#This Row],[BASE DEL DIA]]+Tabla1[[#This Row],[ENTREGAS]]+Tabla1[[#This Row],[TARJETAS]]+Tabla1[[#This Row],[NEQUI O QR]]+Tabla1[[#This Row],[VENTAS FE.CREDITO]]-Tabla1[[#This Row],[VENTAS NETAS]]-Tabla1[[#This Row],[BASE ANTERIOR]]</f>
        <v>1100</v>
      </c>
    </row>
    <row r="286" spans="1:13" ht="13.5" customHeight="1" x14ac:dyDescent="0.2">
      <c r="A286" s="1">
        <v>6404</v>
      </c>
      <c r="B286" s="2">
        <v>45733</v>
      </c>
      <c r="C286" s="3" t="s">
        <v>161</v>
      </c>
      <c r="D286" s="1" t="s">
        <v>17</v>
      </c>
      <c r="E286" s="1" t="s">
        <v>22</v>
      </c>
      <c r="F286" s="4">
        <v>2261100</v>
      </c>
      <c r="G286" s="4">
        <v>2171700</v>
      </c>
      <c r="H286" s="4">
        <v>51000</v>
      </c>
      <c r="I286" s="4">
        <v>204000</v>
      </c>
      <c r="K286" s="4">
        <v>673900</v>
      </c>
      <c r="L286" s="4">
        <v>837300</v>
      </c>
      <c r="M286" s="4">
        <f>Tabla1[[#This Row],[BASE DEL DIA]]+Tabla1[[#This Row],[ENTREGAS]]+Tabla1[[#This Row],[TARJETAS]]+Tabla1[[#This Row],[NEQUI O QR]]+Tabla1[[#This Row],[VENTAS FE.CREDITO]]-Tabla1[[#This Row],[VENTAS NETAS]]-Tabla1[[#This Row],[BASE ANTERIOR]]</f>
        <v>2200</v>
      </c>
    </row>
    <row r="287" spans="1:13" ht="13.5" customHeight="1" x14ac:dyDescent="0.2">
      <c r="A287" s="1">
        <v>6403</v>
      </c>
      <c r="B287" s="2">
        <v>45732</v>
      </c>
      <c r="C287" s="3" t="s">
        <v>156</v>
      </c>
      <c r="D287" s="1" t="s">
        <v>17</v>
      </c>
      <c r="E287" s="1" t="s">
        <v>23</v>
      </c>
      <c r="F287" s="4">
        <v>5311850</v>
      </c>
      <c r="G287" s="4">
        <v>4520000</v>
      </c>
      <c r="H287" s="4">
        <v>384200</v>
      </c>
      <c r="I287" s="4">
        <v>411400</v>
      </c>
      <c r="J287" s="4">
        <v>0</v>
      </c>
      <c r="K287" s="4">
        <v>837300</v>
      </c>
      <c r="L287" s="4">
        <v>837200</v>
      </c>
      <c r="M287" s="4">
        <f>Tabla1[[#This Row],[BASE DEL DIA]]+Tabla1[[#This Row],[ENTREGAS]]+Tabla1[[#This Row],[TARJETAS]]+Tabla1[[#This Row],[NEQUI O QR]]+Tabla1[[#This Row],[VENTAS FE.CREDITO]]-Tabla1[[#This Row],[VENTAS NETAS]]-Tabla1[[#This Row],[BASE ANTERIOR]]</f>
        <v>3850</v>
      </c>
    </row>
    <row r="288" spans="1:13" ht="13.5" customHeight="1" x14ac:dyDescent="0.2">
      <c r="A288" s="1">
        <v>6402</v>
      </c>
      <c r="B288" s="2">
        <v>45732</v>
      </c>
      <c r="C288" s="3" t="s">
        <v>47</v>
      </c>
      <c r="D288" s="1" t="s">
        <v>133</v>
      </c>
      <c r="E288" s="1" t="s">
        <v>22</v>
      </c>
      <c r="F288" s="4">
        <v>4402500</v>
      </c>
      <c r="G288" s="4">
        <v>4289000</v>
      </c>
      <c r="H288" s="4">
        <v>134100</v>
      </c>
      <c r="K288" s="4">
        <v>837200</v>
      </c>
      <c r="L288" s="4">
        <v>848150</v>
      </c>
      <c r="M288" s="4">
        <f>Tabla1[[#This Row],[BASE DEL DIA]]+Tabla1[[#This Row],[ENTREGAS]]+Tabla1[[#This Row],[TARJETAS]]+Tabla1[[#This Row],[NEQUI O QR]]+Tabla1[[#This Row],[VENTAS FE.CREDITO]]-Tabla1[[#This Row],[VENTAS NETAS]]-Tabla1[[#This Row],[BASE ANTERIOR]]</f>
        <v>9650</v>
      </c>
    </row>
    <row r="289" spans="1:13" ht="13.5" customHeight="1" x14ac:dyDescent="0.2">
      <c r="A289" s="1">
        <v>6401</v>
      </c>
      <c r="B289" s="2">
        <v>45731</v>
      </c>
      <c r="C289" s="3" t="s">
        <v>107</v>
      </c>
      <c r="D289" s="1" t="s">
        <v>17</v>
      </c>
      <c r="E289" s="1" t="s">
        <v>24</v>
      </c>
      <c r="F289" s="4">
        <v>10334800</v>
      </c>
      <c r="G289" s="4">
        <v>9043900</v>
      </c>
      <c r="H289" s="4">
        <v>1080200</v>
      </c>
      <c r="I289" s="4">
        <v>175400</v>
      </c>
      <c r="J289" s="4">
        <v>13800</v>
      </c>
      <c r="K289" s="4">
        <v>848150</v>
      </c>
      <c r="L289" s="4">
        <v>816200</v>
      </c>
      <c r="M289" s="4">
        <f>Tabla1[[#This Row],[BASE DEL DIA]]+Tabla1[[#This Row],[ENTREGAS]]+Tabla1[[#This Row],[TARJETAS]]+Tabla1[[#This Row],[NEQUI O QR]]+Tabla1[[#This Row],[VENTAS FE.CREDITO]]-Tabla1[[#This Row],[VENTAS NETAS]]-Tabla1[[#This Row],[BASE ANTERIOR]]</f>
        <v>10450</v>
      </c>
    </row>
    <row r="290" spans="1:13" ht="13.5" customHeight="1" x14ac:dyDescent="0.2">
      <c r="A290" s="1">
        <v>6400</v>
      </c>
      <c r="B290" s="2">
        <v>45730</v>
      </c>
      <c r="C290" s="3" t="s">
        <v>72</v>
      </c>
      <c r="D290" s="1" t="s">
        <v>17</v>
      </c>
      <c r="E290" s="1" t="s">
        <v>23</v>
      </c>
      <c r="F290" s="4">
        <v>3992900</v>
      </c>
      <c r="G290" s="4">
        <v>3701200</v>
      </c>
      <c r="H290" s="4">
        <v>236200</v>
      </c>
      <c r="I290" s="4">
        <v>61700</v>
      </c>
      <c r="J290" s="4">
        <v>32900</v>
      </c>
      <c r="K290" s="4">
        <v>816200</v>
      </c>
      <c r="L290" s="4">
        <v>855400</v>
      </c>
      <c r="M290" s="4">
        <f>Tabla1[[#This Row],[BASE DEL DIA]]+Tabla1[[#This Row],[ENTREGAS]]+Tabla1[[#This Row],[TARJETAS]]+Tabla1[[#This Row],[NEQUI O QR]]+Tabla1[[#This Row],[VENTAS FE.CREDITO]]-Tabla1[[#This Row],[VENTAS NETAS]]-Tabla1[[#This Row],[BASE ANTERIOR]]</f>
        <v>-100</v>
      </c>
    </row>
    <row r="291" spans="1:13" ht="13.5" customHeight="1" x14ac:dyDescent="0.2">
      <c r="A291" s="1">
        <v>6399</v>
      </c>
      <c r="B291" s="2">
        <v>45730</v>
      </c>
      <c r="C291" s="3" t="s">
        <v>134</v>
      </c>
      <c r="D291" s="1" t="s">
        <v>16</v>
      </c>
      <c r="E291" s="1" t="s">
        <v>22</v>
      </c>
      <c r="F291" s="4">
        <v>1405700</v>
      </c>
      <c r="G291" s="4">
        <v>1326150</v>
      </c>
      <c r="H291" s="4">
        <v>84500</v>
      </c>
      <c r="K291" s="4">
        <v>855400</v>
      </c>
      <c r="L291" s="4">
        <v>857150</v>
      </c>
      <c r="M291" s="4">
        <f>Tabla1[[#This Row],[BASE DEL DIA]]+Tabla1[[#This Row],[ENTREGAS]]+Tabla1[[#This Row],[TARJETAS]]+Tabla1[[#This Row],[NEQUI O QR]]+Tabla1[[#This Row],[VENTAS FE.CREDITO]]-Tabla1[[#This Row],[VENTAS NETAS]]-Tabla1[[#This Row],[BASE ANTERIOR]]</f>
        <v>3200</v>
      </c>
    </row>
    <row r="292" spans="1:13" ht="13.5" customHeight="1" x14ac:dyDescent="0.2">
      <c r="A292" s="1">
        <v>6398</v>
      </c>
      <c r="B292" s="2">
        <v>45730</v>
      </c>
      <c r="C292" s="3" t="s">
        <v>178</v>
      </c>
      <c r="D292" s="1" t="s">
        <v>16</v>
      </c>
      <c r="E292" s="1" t="s">
        <v>23</v>
      </c>
      <c r="F292" s="4">
        <v>2046100</v>
      </c>
      <c r="G292" s="4">
        <v>1300000</v>
      </c>
      <c r="H292" s="4">
        <v>9100</v>
      </c>
      <c r="I292" s="4">
        <v>752100</v>
      </c>
      <c r="J292" s="4">
        <v>35100</v>
      </c>
      <c r="K292" s="4">
        <v>857150</v>
      </c>
      <c r="L292" s="4">
        <v>906800</v>
      </c>
      <c r="M292" s="4">
        <f>Tabla1[[#This Row],[BASE DEL DIA]]+Tabla1[[#This Row],[ENTREGAS]]+Tabla1[[#This Row],[TARJETAS]]+Tabla1[[#This Row],[NEQUI O QR]]+Tabla1[[#This Row],[VENTAS FE.CREDITO]]-Tabla1[[#This Row],[VENTAS NETAS]]-Tabla1[[#This Row],[BASE ANTERIOR]]</f>
        <v>550</v>
      </c>
    </row>
    <row r="293" spans="1:13" ht="13.5" customHeight="1" x14ac:dyDescent="0.2">
      <c r="A293" s="1">
        <v>6397</v>
      </c>
      <c r="B293" s="2">
        <v>45729</v>
      </c>
      <c r="C293" s="3" t="s">
        <v>64</v>
      </c>
      <c r="D293" s="1" t="s">
        <v>17</v>
      </c>
      <c r="E293" s="1" t="s">
        <v>23</v>
      </c>
      <c r="F293" s="4">
        <v>2457500</v>
      </c>
      <c r="G293" s="4">
        <v>2267000</v>
      </c>
      <c r="H293" s="4">
        <v>143000</v>
      </c>
      <c r="I293" s="4">
        <v>21800</v>
      </c>
      <c r="J293" s="4">
        <v>20800</v>
      </c>
      <c r="K293" s="4">
        <v>906800</v>
      </c>
      <c r="L293" s="4">
        <v>903200</v>
      </c>
      <c r="M293" s="4">
        <f>Tabla1[[#This Row],[BASE DEL DIA]]+Tabla1[[#This Row],[ENTREGAS]]+Tabla1[[#This Row],[TARJETAS]]+Tabla1[[#This Row],[NEQUI O QR]]+Tabla1[[#This Row],[VENTAS FE.CREDITO]]-Tabla1[[#This Row],[VENTAS NETAS]]-Tabla1[[#This Row],[BASE ANTERIOR]]</f>
        <v>-1300</v>
      </c>
    </row>
    <row r="294" spans="1:13" ht="13.5" customHeight="1" x14ac:dyDescent="0.2">
      <c r="A294" s="1">
        <v>6396</v>
      </c>
      <c r="B294" s="2">
        <v>45728</v>
      </c>
      <c r="C294" s="3" t="s">
        <v>107</v>
      </c>
      <c r="D294" s="1" t="s">
        <v>17</v>
      </c>
      <c r="E294" s="1" t="s">
        <v>23</v>
      </c>
      <c r="F294" s="4">
        <v>3500850</v>
      </c>
      <c r="G294" s="4">
        <v>3123000</v>
      </c>
      <c r="H294" s="4">
        <v>233700</v>
      </c>
      <c r="I294" s="4">
        <v>124100</v>
      </c>
      <c r="J294" s="4">
        <v>12200</v>
      </c>
      <c r="K294" s="4">
        <v>903200</v>
      </c>
      <c r="L294" s="4">
        <v>896300</v>
      </c>
      <c r="M294" s="4">
        <f>Tabla1[[#This Row],[BASE DEL DIA]]+Tabla1[[#This Row],[ENTREGAS]]+Tabla1[[#This Row],[TARJETAS]]+Tabla1[[#This Row],[NEQUI O QR]]+Tabla1[[#This Row],[VENTAS FE.CREDITO]]-Tabla1[[#This Row],[VENTAS NETAS]]-Tabla1[[#This Row],[BASE ANTERIOR]]</f>
        <v>-950</v>
      </c>
    </row>
    <row r="295" spans="1:13" ht="13.5" customHeight="1" x14ac:dyDescent="0.2">
      <c r="A295" s="1">
        <v>6395</v>
      </c>
      <c r="B295" s="2">
        <v>45728</v>
      </c>
      <c r="C295" s="3" t="s">
        <v>116</v>
      </c>
      <c r="D295" s="1" t="s">
        <v>16</v>
      </c>
      <c r="E295" s="1" t="s">
        <v>22</v>
      </c>
      <c r="F295" s="4">
        <v>2636600</v>
      </c>
      <c r="G295" s="4">
        <v>2514700</v>
      </c>
      <c r="H295" s="4">
        <v>229500</v>
      </c>
      <c r="I295" s="4">
        <v>79100</v>
      </c>
      <c r="K295" s="4">
        <v>896300</v>
      </c>
      <c r="L295" s="4">
        <v>1086250</v>
      </c>
      <c r="M295" s="4">
        <f>Tabla1[[#This Row],[BASE DEL DIA]]+Tabla1[[#This Row],[ENTREGAS]]+Tabla1[[#This Row],[TARJETAS]]+Tabla1[[#This Row],[NEQUI O QR]]+Tabla1[[#This Row],[VENTAS FE.CREDITO]]-Tabla1[[#This Row],[VENTAS NETAS]]-Tabla1[[#This Row],[BASE ANTERIOR]]</f>
        <v>-3250</v>
      </c>
    </row>
    <row r="296" spans="1:13" ht="13.5" customHeight="1" x14ac:dyDescent="0.2">
      <c r="A296" s="1">
        <v>6394</v>
      </c>
      <c r="B296" s="2">
        <v>45727</v>
      </c>
      <c r="C296" s="3" t="s">
        <v>163</v>
      </c>
      <c r="D296" s="1" t="s">
        <v>16</v>
      </c>
      <c r="E296" s="1" t="s">
        <v>23</v>
      </c>
      <c r="F296" s="4">
        <v>3019100</v>
      </c>
      <c r="G296" s="4">
        <v>2859000</v>
      </c>
      <c r="H296" s="4">
        <v>17700</v>
      </c>
      <c r="I296" s="4">
        <v>27400</v>
      </c>
      <c r="K296" s="4">
        <v>1086250</v>
      </c>
      <c r="L296" s="4">
        <v>965550</v>
      </c>
      <c r="M296" s="4">
        <f>Tabla1[[#This Row],[BASE DEL DIA]]+Tabla1[[#This Row],[ENTREGAS]]+Tabla1[[#This Row],[TARJETAS]]+Tabla1[[#This Row],[NEQUI O QR]]+Tabla1[[#This Row],[VENTAS FE.CREDITO]]-Tabla1[[#This Row],[VENTAS NETAS]]-Tabla1[[#This Row],[BASE ANTERIOR]]</f>
        <v>5700</v>
      </c>
    </row>
    <row r="297" spans="1:13" ht="13.5" customHeight="1" x14ac:dyDescent="0.2">
      <c r="A297" s="1">
        <v>6393</v>
      </c>
      <c r="B297" s="2">
        <v>45727</v>
      </c>
      <c r="C297" s="3" t="s">
        <v>127</v>
      </c>
      <c r="D297" s="1" t="s">
        <v>19</v>
      </c>
      <c r="E297" s="1" t="s">
        <v>22</v>
      </c>
      <c r="F297" s="4">
        <v>1562600</v>
      </c>
      <c r="G297" s="4">
        <v>1437150</v>
      </c>
      <c r="H297" s="4">
        <v>27000</v>
      </c>
      <c r="I297" s="4">
        <v>40300</v>
      </c>
      <c r="K297" s="4">
        <v>965550</v>
      </c>
      <c r="L297" s="4">
        <v>905900</v>
      </c>
      <c r="M297" s="4">
        <f>Tabla1[[#This Row],[BASE DEL DIA]]+Tabla1[[#This Row],[ENTREGAS]]+Tabla1[[#This Row],[TARJETAS]]+Tabla1[[#This Row],[NEQUI O QR]]+Tabla1[[#This Row],[VENTAS FE.CREDITO]]-Tabla1[[#This Row],[VENTAS NETAS]]-Tabla1[[#This Row],[BASE ANTERIOR]]</f>
        <v>1500</v>
      </c>
    </row>
    <row r="298" spans="1:13" ht="13.5" customHeight="1" x14ac:dyDescent="0.2">
      <c r="A298" s="1">
        <v>6392</v>
      </c>
      <c r="B298" s="2">
        <v>45726</v>
      </c>
      <c r="C298" s="3" t="s">
        <v>72</v>
      </c>
      <c r="D298" s="1" t="s">
        <v>17</v>
      </c>
      <c r="E298" s="1" t="s">
        <v>23</v>
      </c>
      <c r="F298" s="4">
        <v>4292800</v>
      </c>
      <c r="G298" s="4">
        <v>3993800</v>
      </c>
      <c r="H298" s="4">
        <v>235000</v>
      </c>
      <c r="I298" s="4">
        <v>53500</v>
      </c>
      <c r="J298" s="4">
        <v>28300</v>
      </c>
      <c r="K298" s="4">
        <v>905900</v>
      </c>
      <c r="L298" s="4">
        <v>868900</v>
      </c>
      <c r="M298" s="4">
        <f>Tabla1[[#This Row],[BASE DEL DIA]]+Tabla1[[#This Row],[ENTREGAS]]+Tabla1[[#This Row],[TARJETAS]]+Tabla1[[#This Row],[NEQUI O QR]]+Tabla1[[#This Row],[VENTAS FE.CREDITO]]-Tabla1[[#This Row],[VENTAS NETAS]]-Tabla1[[#This Row],[BASE ANTERIOR]]</f>
        <v>54800</v>
      </c>
    </row>
    <row r="299" spans="1:13" ht="13.5" customHeight="1" x14ac:dyDescent="0.2">
      <c r="A299" s="1">
        <v>6391</v>
      </c>
      <c r="B299" s="2">
        <v>45726</v>
      </c>
      <c r="C299" s="3" t="s">
        <v>120</v>
      </c>
      <c r="D299" s="1" t="s">
        <v>16</v>
      </c>
      <c r="E299" s="1" t="s">
        <v>22</v>
      </c>
      <c r="F299" s="4">
        <v>2813400</v>
      </c>
      <c r="G299" s="4">
        <v>2651400</v>
      </c>
      <c r="H299" s="4">
        <v>218200</v>
      </c>
      <c r="I299" s="4">
        <v>17000</v>
      </c>
      <c r="K299" s="4">
        <v>826250</v>
      </c>
      <c r="L299" s="4">
        <v>943350</v>
      </c>
      <c r="M299" s="4">
        <f>Tabla1[[#This Row],[BASE DEL DIA]]+Tabla1[[#This Row],[ENTREGAS]]+Tabla1[[#This Row],[TARJETAS]]+Tabla1[[#This Row],[NEQUI O QR]]+Tabla1[[#This Row],[VENTAS FE.CREDITO]]-Tabla1[[#This Row],[VENTAS NETAS]]-Tabla1[[#This Row],[BASE ANTERIOR]]</f>
        <v>-43900</v>
      </c>
    </row>
    <row r="300" spans="1:13" ht="13.5" customHeight="1" x14ac:dyDescent="0.2">
      <c r="A300" s="1">
        <v>6390</v>
      </c>
      <c r="B300" s="2">
        <v>45725</v>
      </c>
      <c r="C300" s="3" t="s">
        <v>156</v>
      </c>
      <c r="D300" s="1" t="s">
        <v>17</v>
      </c>
      <c r="E300" s="1" t="s">
        <v>23</v>
      </c>
      <c r="F300" s="4">
        <v>8436350</v>
      </c>
      <c r="G300" s="4">
        <v>7645200</v>
      </c>
      <c r="H300" s="4">
        <v>653100</v>
      </c>
      <c r="I300" s="4">
        <v>59900</v>
      </c>
      <c r="K300" s="4">
        <v>943350</v>
      </c>
      <c r="L300" s="4">
        <v>866450</v>
      </c>
      <c r="M300" s="4">
        <f>Tabla1[[#This Row],[BASE DEL DIA]]+Tabla1[[#This Row],[ENTREGAS]]+Tabla1[[#This Row],[TARJETAS]]+Tabla1[[#This Row],[NEQUI O QR]]+Tabla1[[#This Row],[VENTAS FE.CREDITO]]-Tabla1[[#This Row],[VENTAS NETAS]]-Tabla1[[#This Row],[BASE ANTERIOR]]</f>
        <v>-1250</v>
      </c>
    </row>
    <row r="301" spans="1:13" ht="13.5" customHeight="1" x14ac:dyDescent="0.2">
      <c r="A301" s="1">
        <v>6389</v>
      </c>
      <c r="B301" s="2">
        <v>45724</v>
      </c>
      <c r="C301" s="3" t="s">
        <v>130</v>
      </c>
      <c r="D301" s="1" t="s">
        <v>17</v>
      </c>
      <c r="E301" s="1" t="s">
        <v>23</v>
      </c>
      <c r="F301" s="4">
        <v>3982300</v>
      </c>
      <c r="G301" s="4">
        <v>3688000</v>
      </c>
      <c r="H301" s="4">
        <v>169000</v>
      </c>
      <c r="I301" s="4">
        <v>78300</v>
      </c>
      <c r="K301" s="4">
        <v>866450</v>
      </c>
      <c r="L301" s="4">
        <v>824550</v>
      </c>
      <c r="M301" s="4">
        <f>Tabla1[[#This Row],[BASE DEL DIA]]+Tabla1[[#This Row],[ENTREGAS]]+Tabla1[[#This Row],[TARJETAS]]+Tabla1[[#This Row],[NEQUI O QR]]+Tabla1[[#This Row],[VENTAS FE.CREDITO]]-Tabla1[[#This Row],[VENTAS NETAS]]-Tabla1[[#This Row],[BASE ANTERIOR]]</f>
        <v>-5100</v>
      </c>
    </row>
    <row r="302" spans="1:13" ht="13.5" customHeight="1" x14ac:dyDescent="0.2">
      <c r="A302" s="1">
        <v>6388</v>
      </c>
      <c r="B302" s="2">
        <v>45724</v>
      </c>
      <c r="C302" s="3" t="s">
        <v>78</v>
      </c>
      <c r="D302" s="1" t="s">
        <v>172</v>
      </c>
      <c r="E302" s="1" t="s">
        <v>23</v>
      </c>
      <c r="F302" s="4">
        <v>2856400</v>
      </c>
      <c r="G302" s="4">
        <v>2756900</v>
      </c>
      <c r="H302" s="4">
        <v>293500</v>
      </c>
      <c r="I302" s="4">
        <v>10100</v>
      </c>
      <c r="J302" s="4">
        <v>2900</v>
      </c>
      <c r="K302" s="4">
        <v>824550</v>
      </c>
      <c r="L302" s="4">
        <v>1026800</v>
      </c>
      <c r="M302" s="4">
        <f>Tabla1[[#This Row],[BASE DEL DIA]]+Tabla1[[#This Row],[ENTREGAS]]+Tabla1[[#This Row],[TARJETAS]]+Tabla1[[#This Row],[NEQUI O QR]]+Tabla1[[#This Row],[VENTAS FE.CREDITO]]-Tabla1[[#This Row],[VENTAS NETAS]]-Tabla1[[#This Row],[BASE ANTERIOR]]</f>
        <v>4750</v>
      </c>
    </row>
    <row r="303" spans="1:13" ht="13.5" customHeight="1" x14ac:dyDescent="0.2">
      <c r="A303" s="1">
        <v>6387</v>
      </c>
      <c r="B303" s="2">
        <v>45723</v>
      </c>
      <c r="C303" s="3" t="s">
        <v>85</v>
      </c>
      <c r="D303" s="1" t="s">
        <v>172</v>
      </c>
      <c r="E303" s="1" t="s">
        <v>23</v>
      </c>
      <c r="F303" s="4">
        <v>3524700</v>
      </c>
      <c r="G303" s="4">
        <v>3060000</v>
      </c>
      <c r="H303" s="4">
        <v>380000</v>
      </c>
      <c r="I303" s="4">
        <v>32800</v>
      </c>
      <c r="J303" s="4">
        <v>5900</v>
      </c>
      <c r="K303" s="4">
        <v>1026800</v>
      </c>
      <c r="L303" s="4">
        <v>987800</v>
      </c>
      <c r="M303" s="4">
        <f>Tabla1[[#This Row],[BASE DEL DIA]]+Tabla1[[#This Row],[ENTREGAS]]+Tabla1[[#This Row],[TARJETAS]]+Tabla1[[#This Row],[NEQUI O QR]]+Tabla1[[#This Row],[VENTAS FE.CREDITO]]-Tabla1[[#This Row],[VENTAS NETAS]]-Tabla1[[#This Row],[BASE ANTERIOR]]</f>
        <v>-7000</v>
      </c>
    </row>
    <row r="304" spans="1:13" ht="13.5" customHeight="1" x14ac:dyDescent="0.2">
      <c r="A304" s="1">
        <v>6386</v>
      </c>
      <c r="B304" s="2">
        <v>45723</v>
      </c>
      <c r="C304" s="3" t="s">
        <v>97</v>
      </c>
      <c r="D304" s="1" t="s">
        <v>17</v>
      </c>
      <c r="E304" s="1" t="s">
        <v>22</v>
      </c>
      <c r="F304" s="4">
        <v>2484400</v>
      </c>
      <c r="G304" s="4">
        <v>2317400</v>
      </c>
      <c r="H304" s="4">
        <v>10500</v>
      </c>
      <c r="K304" s="4">
        <v>987800</v>
      </c>
      <c r="L304" s="4">
        <v>831700</v>
      </c>
      <c r="M304" s="4">
        <f>Tabla1[[#This Row],[BASE DEL DIA]]+Tabla1[[#This Row],[ENTREGAS]]+Tabla1[[#This Row],[TARJETAS]]+Tabla1[[#This Row],[NEQUI O QR]]+Tabla1[[#This Row],[VENTAS FE.CREDITO]]-Tabla1[[#This Row],[VENTAS NETAS]]-Tabla1[[#This Row],[BASE ANTERIOR]]</f>
        <v>-400</v>
      </c>
    </row>
    <row r="305" spans="1:13" ht="13.5" customHeight="1" x14ac:dyDescent="0.2">
      <c r="A305" s="1">
        <v>6385</v>
      </c>
      <c r="B305" s="2">
        <v>45722</v>
      </c>
      <c r="C305" s="3" t="s">
        <v>83</v>
      </c>
      <c r="D305" s="1" t="s">
        <v>19</v>
      </c>
      <c r="E305" s="1" t="s">
        <v>23</v>
      </c>
      <c r="F305" s="4">
        <v>3634700</v>
      </c>
      <c r="G305" s="4">
        <v>3527000</v>
      </c>
      <c r="H305" s="4">
        <v>194900</v>
      </c>
      <c r="J305" s="4">
        <v>2600</v>
      </c>
      <c r="K305" s="4">
        <v>831700</v>
      </c>
      <c r="L305" s="4">
        <v>915200</v>
      </c>
      <c r="M305" s="4">
        <f>Tabla1[[#This Row],[BASE DEL DIA]]+Tabla1[[#This Row],[ENTREGAS]]+Tabla1[[#This Row],[TARJETAS]]+Tabla1[[#This Row],[NEQUI O QR]]+Tabla1[[#This Row],[VENTAS FE.CREDITO]]-Tabla1[[#This Row],[VENTAS NETAS]]-Tabla1[[#This Row],[BASE ANTERIOR]]</f>
        <v>6300</v>
      </c>
    </row>
    <row r="306" spans="1:13" ht="13.5" customHeight="1" x14ac:dyDescent="0.2">
      <c r="A306" s="1">
        <v>6384</v>
      </c>
      <c r="B306" s="2">
        <v>45722</v>
      </c>
      <c r="C306" s="3" t="s">
        <v>100</v>
      </c>
      <c r="D306" s="1" t="s">
        <v>16</v>
      </c>
      <c r="E306" s="1" t="s">
        <v>22</v>
      </c>
      <c r="F306" s="4">
        <v>2348900</v>
      </c>
      <c r="G306" s="4">
        <v>2140400</v>
      </c>
      <c r="H306" s="4">
        <v>152800</v>
      </c>
      <c r="I306" s="4">
        <v>69900</v>
      </c>
      <c r="J306" s="4">
        <v>9200</v>
      </c>
      <c r="K306" s="4">
        <v>915200</v>
      </c>
      <c r="L306" s="4">
        <v>939700</v>
      </c>
      <c r="M306" s="4">
        <f>Tabla1[[#This Row],[BASE DEL DIA]]+Tabla1[[#This Row],[ENTREGAS]]+Tabla1[[#This Row],[TARJETAS]]+Tabla1[[#This Row],[NEQUI O QR]]+Tabla1[[#This Row],[VENTAS FE.CREDITO]]-Tabla1[[#This Row],[VENTAS NETAS]]-Tabla1[[#This Row],[BASE ANTERIOR]]</f>
        <v>-1100</v>
      </c>
    </row>
    <row r="307" spans="1:13" ht="13.5" customHeight="1" x14ac:dyDescent="0.2">
      <c r="A307" s="1">
        <v>6383</v>
      </c>
      <c r="B307" s="2">
        <v>45722</v>
      </c>
      <c r="C307" s="3" t="s">
        <v>46</v>
      </c>
      <c r="D307" s="1" t="s">
        <v>16</v>
      </c>
      <c r="E307" s="1" t="s">
        <v>23</v>
      </c>
      <c r="F307" s="4">
        <v>4576500</v>
      </c>
      <c r="G307" s="4">
        <v>3909000</v>
      </c>
      <c r="H307" s="4">
        <v>475000</v>
      </c>
      <c r="I307" s="4">
        <v>4500</v>
      </c>
      <c r="J307" s="4">
        <v>120400</v>
      </c>
      <c r="K307" s="4">
        <v>939700</v>
      </c>
      <c r="L307" s="4">
        <v>867400</v>
      </c>
      <c r="M307" s="4">
        <f>Tabla1[[#This Row],[BASE DEL DIA]]+Tabla1[[#This Row],[ENTREGAS]]+Tabla1[[#This Row],[TARJETAS]]+Tabla1[[#This Row],[NEQUI O QR]]+Tabla1[[#This Row],[VENTAS FE.CREDITO]]-Tabla1[[#This Row],[VENTAS NETAS]]-Tabla1[[#This Row],[BASE ANTERIOR]]</f>
        <v>4700</v>
      </c>
    </row>
    <row r="308" spans="1:13" ht="13.5" customHeight="1" x14ac:dyDescent="0.2">
      <c r="A308" s="1">
        <v>6382</v>
      </c>
      <c r="B308" s="2">
        <v>45721</v>
      </c>
      <c r="C308" s="3" t="s">
        <v>129</v>
      </c>
      <c r="D308" s="1" t="s">
        <v>172</v>
      </c>
      <c r="E308" s="1" t="s">
        <v>24</v>
      </c>
      <c r="F308" s="4">
        <v>2877950</v>
      </c>
      <c r="G308" s="4">
        <v>2747700</v>
      </c>
      <c r="H308" s="4">
        <v>132700</v>
      </c>
      <c r="I308" s="4">
        <v>27300</v>
      </c>
      <c r="J308" s="4">
        <v>28200</v>
      </c>
      <c r="K308" s="4">
        <v>867400</v>
      </c>
      <c r="L308" s="4">
        <v>916250</v>
      </c>
      <c r="M308" s="4">
        <f>Tabla1[[#This Row],[BASE DEL DIA]]+Tabla1[[#This Row],[ENTREGAS]]+Tabla1[[#This Row],[TARJETAS]]+Tabla1[[#This Row],[NEQUI O QR]]+Tabla1[[#This Row],[VENTAS FE.CREDITO]]-Tabla1[[#This Row],[VENTAS NETAS]]-Tabla1[[#This Row],[BASE ANTERIOR]]</f>
        <v>9100</v>
      </c>
    </row>
    <row r="309" spans="1:13" ht="13.5" customHeight="1" x14ac:dyDescent="0.2">
      <c r="A309" s="1">
        <v>6381</v>
      </c>
      <c r="B309" s="2">
        <v>45720</v>
      </c>
      <c r="C309" s="3" t="s">
        <v>107</v>
      </c>
      <c r="D309" s="1" t="s">
        <v>172</v>
      </c>
      <c r="E309" s="1" t="s">
        <v>24</v>
      </c>
      <c r="F309" s="4">
        <v>8069880</v>
      </c>
      <c r="G309" s="4">
        <v>7551050</v>
      </c>
      <c r="H309" s="4">
        <v>263600</v>
      </c>
      <c r="I309" s="4">
        <v>212400</v>
      </c>
      <c r="J309" s="4">
        <v>23500</v>
      </c>
      <c r="K309" s="4">
        <v>916250</v>
      </c>
      <c r="L309" s="4">
        <v>877950</v>
      </c>
      <c r="M309" s="4">
        <f>Tabla1[[#This Row],[BASE DEL DIA]]+Tabla1[[#This Row],[ENTREGAS]]+Tabla1[[#This Row],[TARJETAS]]+Tabla1[[#This Row],[NEQUI O QR]]+Tabla1[[#This Row],[VENTAS FE.CREDITO]]-Tabla1[[#This Row],[VENTAS NETAS]]-Tabla1[[#This Row],[BASE ANTERIOR]]</f>
        <v>18970</v>
      </c>
    </row>
    <row r="310" spans="1:13" ht="13.5" customHeight="1" x14ac:dyDescent="0.2">
      <c r="A310" s="1">
        <v>6380</v>
      </c>
      <c r="B310" s="2">
        <v>45719</v>
      </c>
      <c r="C310" s="3" t="s">
        <v>40</v>
      </c>
      <c r="D310" s="1" t="s">
        <v>172</v>
      </c>
      <c r="E310" s="1" t="s">
        <v>23</v>
      </c>
      <c r="F310" s="4">
        <v>5887100</v>
      </c>
      <c r="G310" s="4">
        <v>5220000</v>
      </c>
      <c r="H310" s="4">
        <v>242700</v>
      </c>
      <c r="I310" s="4">
        <v>407500</v>
      </c>
      <c r="K310" s="4">
        <v>877950</v>
      </c>
      <c r="L310" s="4">
        <v>874450</v>
      </c>
      <c r="M310" s="4">
        <f>Tabla1[[#This Row],[BASE DEL DIA]]+Tabla1[[#This Row],[ENTREGAS]]+Tabla1[[#This Row],[TARJETAS]]+Tabla1[[#This Row],[NEQUI O QR]]+Tabla1[[#This Row],[VENTAS FE.CREDITO]]-Tabla1[[#This Row],[VENTAS NETAS]]-Tabla1[[#This Row],[BASE ANTERIOR]]</f>
        <v>-13400</v>
      </c>
    </row>
    <row r="311" spans="1:13" ht="13.5" customHeight="1" x14ac:dyDescent="0.2">
      <c r="A311" s="1">
        <v>6380</v>
      </c>
      <c r="B311" s="2">
        <v>45719</v>
      </c>
      <c r="C311" s="3" t="s">
        <v>158</v>
      </c>
      <c r="D311" s="1" t="s">
        <v>172</v>
      </c>
      <c r="E311" s="1" t="s">
        <v>23</v>
      </c>
      <c r="L311" s="4">
        <v>874450</v>
      </c>
      <c r="M311" s="4">
        <f>Tabla1[[#This Row],[BASE DEL DIA]]+Tabla1[[#This Row],[ENTREGAS]]+Tabla1[[#This Row],[TARJETAS]]+Tabla1[[#This Row],[NEQUI O QR]]+Tabla1[[#This Row],[VENTAS FE.CREDITO]]-Tabla1[[#This Row],[VENTAS NETAS]]-Tabla1[[#This Row],[BASE ANTERIOR]]</f>
        <v>-874450</v>
      </c>
    </row>
    <row r="312" spans="1:13" ht="13.5" customHeight="1" x14ac:dyDescent="0.2">
      <c r="A312" s="1">
        <v>6376</v>
      </c>
      <c r="B312" s="2">
        <v>45719</v>
      </c>
      <c r="C312" s="3" t="s">
        <v>120</v>
      </c>
      <c r="D312" s="1" t="s">
        <v>19</v>
      </c>
      <c r="E312" s="1" t="s">
        <v>22</v>
      </c>
      <c r="F312" s="4">
        <v>2827950</v>
      </c>
      <c r="G312" s="4">
        <v>2555974</v>
      </c>
      <c r="H312" s="4">
        <v>181100</v>
      </c>
      <c r="I312" s="4">
        <v>96500</v>
      </c>
      <c r="K312" s="4">
        <v>874450</v>
      </c>
      <c r="L312" s="4">
        <v>874850</v>
      </c>
      <c r="M312" s="4">
        <f>Tabla1[[#This Row],[BASE DEL DIA]]+Tabla1[[#This Row],[ENTREGAS]]+Tabla1[[#This Row],[TARJETAS]]+Tabla1[[#This Row],[NEQUI O QR]]+Tabla1[[#This Row],[VENTAS FE.CREDITO]]-Tabla1[[#This Row],[VENTAS NETAS]]-Tabla1[[#This Row],[BASE ANTERIOR]]</f>
        <v>5224</v>
      </c>
    </row>
    <row r="313" spans="1:13" ht="13.5" customHeight="1" x14ac:dyDescent="0.2">
      <c r="A313" s="1">
        <v>6378</v>
      </c>
      <c r="B313" s="2">
        <v>45718</v>
      </c>
      <c r="C313" s="3" t="s">
        <v>154</v>
      </c>
      <c r="D313" s="1" t="s">
        <v>18</v>
      </c>
      <c r="E313" s="1" t="s">
        <v>23</v>
      </c>
      <c r="F313" s="4">
        <v>7484000</v>
      </c>
      <c r="G313" s="4">
        <v>6880000</v>
      </c>
      <c r="H313" s="4">
        <v>381600</v>
      </c>
      <c r="I313" s="4">
        <v>234700</v>
      </c>
      <c r="J313" s="4">
        <v>0</v>
      </c>
      <c r="K313" s="4">
        <v>874850</v>
      </c>
      <c r="L313" s="4">
        <v>839100</v>
      </c>
      <c r="M313" s="4">
        <f>Tabla1[[#This Row],[BASE DEL DIA]]+Tabla1[[#This Row],[ENTREGAS]]+Tabla1[[#This Row],[TARJETAS]]+Tabla1[[#This Row],[NEQUI O QR]]+Tabla1[[#This Row],[VENTAS FE.CREDITO]]-Tabla1[[#This Row],[VENTAS NETAS]]-Tabla1[[#This Row],[BASE ANTERIOR]]</f>
        <v>48050</v>
      </c>
    </row>
    <row r="314" spans="1:13" ht="13.5" customHeight="1" x14ac:dyDescent="0.2">
      <c r="A314" s="1">
        <v>6377</v>
      </c>
      <c r="B314" s="2">
        <v>45718</v>
      </c>
      <c r="C314" s="3" t="s">
        <v>177</v>
      </c>
      <c r="D314" s="1" t="s">
        <v>16</v>
      </c>
      <c r="E314" s="1" t="s">
        <v>22</v>
      </c>
      <c r="F314" s="4">
        <v>5240050</v>
      </c>
      <c r="G314" s="4">
        <v>4982000</v>
      </c>
      <c r="H314" s="4">
        <v>297550</v>
      </c>
      <c r="I314" s="4">
        <v>10000</v>
      </c>
      <c r="J314" s="4">
        <v>0</v>
      </c>
      <c r="K314" s="4">
        <v>839100</v>
      </c>
      <c r="L314" s="4">
        <v>888100</v>
      </c>
      <c r="M314" s="4">
        <f>Tabla1[[#This Row],[BASE DEL DIA]]+Tabla1[[#This Row],[ENTREGAS]]+Tabla1[[#This Row],[TARJETAS]]+Tabla1[[#This Row],[NEQUI O QR]]+Tabla1[[#This Row],[VENTAS FE.CREDITO]]-Tabla1[[#This Row],[VENTAS NETAS]]-Tabla1[[#This Row],[BASE ANTERIOR]]</f>
        <v>500</v>
      </c>
    </row>
    <row r="315" spans="1:13" ht="13.5" customHeight="1" x14ac:dyDescent="0.2">
      <c r="A315" s="1">
        <v>6376</v>
      </c>
      <c r="B315" s="2">
        <v>45717</v>
      </c>
      <c r="C315" s="3" t="s">
        <v>130</v>
      </c>
      <c r="D315" s="1" t="s">
        <v>16</v>
      </c>
      <c r="E315" s="1" t="s">
        <v>23</v>
      </c>
      <c r="F315" s="4">
        <v>6100400</v>
      </c>
      <c r="G315" s="4">
        <v>5442400</v>
      </c>
      <c r="H315" s="4">
        <v>396300</v>
      </c>
      <c r="I315" s="4">
        <v>209500</v>
      </c>
      <c r="J315" s="4">
        <v>119100</v>
      </c>
      <c r="K315" s="4">
        <v>888100</v>
      </c>
      <c r="L315" s="4">
        <v>947200</v>
      </c>
      <c r="M315" s="4">
        <f>Tabla1[[#This Row],[BASE DEL DIA]]+Tabla1[[#This Row],[ENTREGAS]]+Tabla1[[#This Row],[TARJETAS]]+Tabla1[[#This Row],[NEQUI O QR]]+Tabla1[[#This Row],[VENTAS FE.CREDITO]]-Tabla1[[#This Row],[VENTAS NETAS]]-Tabla1[[#This Row],[BASE ANTERIOR]]</f>
        <v>7800</v>
      </c>
    </row>
    <row r="316" spans="1:13" ht="13.5" customHeight="1" x14ac:dyDescent="0.2">
      <c r="A316" s="1">
        <v>6375</v>
      </c>
      <c r="B316" s="2">
        <v>45717</v>
      </c>
      <c r="C316" s="3" t="s">
        <v>75</v>
      </c>
      <c r="D316" s="1" t="s">
        <v>18</v>
      </c>
      <c r="E316" s="1" t="s">
        <v>23</v>
      </c>
      <c r="F316" s="4">
        <v>4469700</v>
      </c>
      <c r="G316" s="4">
        <v>3988300</v>
      </c>
      <c r="H316" s="4">
        <v>531500</v>
      </c>
      <c r="I316" s="4">
        <v>10400</v>
      </c>
      <c r="J316" s="4">
        <v>8500</v>
      </c>
      <c r="K316" s="4">
        <v>947200</v>
      </c>
      <c r="L316" s="4">
        <v>1018050</v>
      </c>
      <c r="M316" s="4">
        <f>Tabla1[[#This Row],[BASE DEL DIA]]+Tabla1[[#This Row],[ENTREGAS]]+Tabla1[[#This Row],[TARJETAS]]+Tabla1[[#This Row],[NEQUI O QR]]+Tabla1[[#This Row],[VENTAS FE.CREDITO]]-Tabla1[[#This Row],[VENTAS NETAS]]-Tabla1[[#This Row],[BASE ANTERIOR]]</f>
        <v>-1850</v>
      </c>
    </row>
    <row r="317" spans="1:13" ht="13.5" customHeight="1" x14ac:dyDescent="0.2">
      <c r="A317" s="1">
        <v>6374</v>
      </c>
      <c r="B317" s="2">
        <v>45716</v>
      </c>
      <c r="C317" s="3" t="s">
        <v>72</v>
      </c>
      <c r="D317" s="1" t="s">
        <v>18</v>
      </c>
      <c r="E317" s="1" t="s">
        <v>23</v>
      </c>
      <c r="F317" s="4">
        <v>3549200</v>
      </c>
      <c r="G317" s="4">
        <v>3088900</v>
      </c>
      <c r="H317" s="4">
        <v>428300</v>
      </c>
      <c r="I317" s="4">
        <v>42600</v>
      </c>
      <c r="J317" s="4">
        <v>0</v>
      </c>
      <c r="K317" s="4">
        <v>1018050</v>
      </c>
      <c r="L317" s="4">
        <v>1030450</v>
      </c>
      <c r="M317" s="4">
        <f>Tabla1[[#This Row],[BASE DEL DIA]]+Tabla1[[#This Row],[ENTREGAS]]+Tabla1[[#This Row],[TARJETAS]]+Tabla1[[#This Row],[NEQUI O QR]]+Tabla1[[#This Row],[VENTAS FE.CREDITO]]-Tabla1[[#This Row],[VENTAS NETAS]]-Tabla1[[#This Row],[BASE ANTERIOR]]</f>
        <v>-1800</v>
      </c>
    </row>
    <row r="318" spans="1:13" ht="13.5" customHeight="1" x14ac:dyDescent="0.2">
      <c r="A318" s="1">
        <v>6373</v>
      </c>
      <c r="B318" s="2">
        <v>45716</v>
      </c>
      <c r="C318" s="3" t="s">
        <v>108</v>
      </c>
      <c r="D318" s="1" t="s">
        <v>16</v>
      </c>
      <c r="E318" s="1" t="s">
        <v>22</v>
      </c>
      <c r="F318" s="4">
        <v>2309200</v>
      </c>
      <c r="G318" s="4">
        <v>2095000</v>
      </c>
      <c r="H318" s="4">
        <v>53100</v>
      </c>
      <c r="I318" s="4">
        <v>7900</v>
      </c>
      <c r="J318" s="4">
        <v>0</v>
      </c>
      <c r="K318" s="4">
        <v>1030450</v>
      </c>
      <c r="L318" s="4">
        <v>877900</v>
      </c>
      <c r="M318" s="4">
        <f>Tabla1[[#This Row],[BASE DEL DIA]]+Tabla1[[#This Row],[ENTREGAS]]+Tabla1[[#This Row],[TARJETAS]]+Tabla1[[#This Row],[NEQUI O QR]]+Tabla1[[#This Row],[VENTAS FE.CREDITO]]-Tabla1[[#This Row],[VENTAS NETAS]]-Tabla1[[#This Row],[BASE ANTERIOR]]</f>
        <v>-650</v>
      </c>
    </row>
    <row r="319" spans="1:13" ht="13.5" customHeight="1" x14ac:dyDescent="0.2">
      <c r="A319" s="1">
        <v>6372</v>
      </c>
      <c r="B319" s="2">
        <v>45715</v>
      </c>
      <c r="C319" s="3" t="s">
        <v>107</v>
      </c>
      <c r="D319" s="1" t="s">
        <v>16</v>
      </c>
      <c r="E319" s="1" t="s">
        <v>23</v>
      </c>
      <c r="F319" s="4">
        <v>2768000</v>
      </c>
      <c r="G319" s="4">
        <v>2450000</v>
      </c>
      <c r="H319" s="4">
        <v>193700</v>
      </c>
      <c r="I319" s="4">
        <v>111700</v>
      </c>
      <c r="J319" s="4">
        <v>0</v>
      </c>
      <c r="K319" s="4">
        <v>877900</v>
      </c>
      <c r="L319" s="4">
        <v>864950</v>
      </c>
      <c r="M319" s="4">
        <f>Tabla1[[#This Row],[BASE DEL DIA]]+Tabla1[[#This Row],[ENTREGAS]]+Tabla1[[#This Row],[TARJETAS]]+Tabla1[[#This Row],[NEQUI O QR]]+Tabla1[[#This Row],[VENTAS FE.CREDITO]]-Tabla1[[#This Row],[VENTAS NETAS]]-Tabla1[[#This Row],[BASE ANTERIOR]]</f>
        <v>350</v>
      </c>
    </row>
    <row r="320" spans="1:13" ht="13.5" customHeight="1" x14ac:dyDescent="0.2">
      <c r="A320" s="1">
        <v>6371</v>
      </c>
      <c r="B320" s="2">
        <v>45715</v>
      </c>
      <c r="C320" s="3" t="s">
        <v>176</v>
      </c>
      <c r="D320" s="1" t="s">
        <v>18</v>
      </c>
      <c r="E320" s="1" t="s">
        <v>22</v>
      </c>
      <c r="F320" s="4">
        <v>1721300</v>
      </c>
      <c r="G320" s="4">
        <v>1675000</v>
      </c>
      <c r="H320" s="4">
        <v>42300</v>
      </c>
      <c r="I320" s="4">
        <v>76700</v>
      </c>
      <c r="J320" s="4">
        <v>0</v>
      </c>
      <c r="K320" s="4">
        <v>864950</v>
      </c>
      <c r="L320" s="4">
        <v>935750</v>
      </c>
      <c r="M320" s="4">
        <f>Tabla1[[#This Row],[BASE DEL DIA]]+Tabla1[[#This Row],[ENTREGAS]]+Tabla1[[#This Row],[TARJETAS]]+Tabla1[[#This Row],[NEQUI O QR]]+Tabla1[[#This Row],[VENTAS FE.CREDITO]]-Tabla1[[#This Row],[VENTAS NETAS]]-Tabla1[[#This Row],[BASE ANTERIOR]]</f>
        <v>1900</v>
      </c>
    </row>
    <row r="321" spans="1:13" ht="13.5" customHeight="1" x14ac:dyDescent="0.2">
      <c r="B321" s="2">
        <v>45714</v>
      </c>
      <c r="C321" s="3" t="s">
        <v>107</v>
      </c>
      <c r="D321" s="1" t="s">
        <v>18</v>
      </c>
      <c r="E321" s="1" t="s">
        <v>23</v>
      </c>
      <c r="F321" s="4">
        <v>3048300</v>
      </c>
      <c r="G321" s="4">
        <v>2800800</v>
      </c>
      <c r="H321" s="4">
        <v>201600</v>
      </c>
      <c r="I321" s="4">
        <v>7700</v>
      </c>
      <c r="K321" s="4">
        <v>935750</v>
      </c>
      <c r="L321" s="4">
        <v>896750</v>
      </c>
      <c r="M321" s="4">
        <f>Tabla1[[#This Row],[BASE DEL DIA]]+Tabla1[[#This Row],[ENTREGAS]]+Tabla1[[#This Row],[TARJETAS]]+Tabla1[[#This Row],[NEQUI O QR]]+Tabla1[[#This Row],[VENTAS FE.CREDITO]]-Tabla1[[#This Row],[VENTAS NETAS]]-Tabla1[[#This Row],[BASE ANTERIOR]]</f>
        <v>800</v>
      </c>
    </row>
    <row r="322" spans="1:13" ht="13.5" customHeight="1" x14ac:dyDescent="0.2">
      <c r="A322" s="1">
        <v>6369</v>
      </c>
      <c r="B322" s="2">
        <v>45714</v>
      </c>
      <c r="C322" s="3" t="s">
        <v>161</v>
      </c>
      <c r="D322" s="1" t="s">
        <v>16</v>
      </c>
      <c r="E322" s="1" t="s">
        <v>22</v>
      </c>
      <c r="F322" s="4">
        <v>2448450</v>
      </c>
      <c r="G322" s="4">
        <v>2224600</v>
      </c>
      <c r="H322" s="4">
        <v>138500</v>
      </c>
      <c r="I322" s="4">
        <v>29000</v>
      </c>
      <c r="J322" s="4">
        <v>0</v>
      </c>
      <c r="K322" s="4">
        <v>896750</v>
      </c>
      <c r="L322" s="4">
        <v>840300</v>
      </c>
      <c r="M322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323" spans="1:13" ht="13.5" customHeight="1" x14ac:dyDescent="0.2">
      <c r="A323" s="1">
        <v>6368</v>
      </c>
      <c r="B323" s="2">
        <v>45713</v>
      </c>
      <c r="C323" s="3" t="s">
        <v>73</v>
      </c>
      <c r="D323" s="1" t="s">
        <v>172</v>
      </c>
      <c r="E323" s="1" t="s">
        <v>23</v>
      </c>
      <c r="F323" s="4">
        <v>2396000</v>
      </c>
      <c r="G323" s="4">
        <v>2020000</v>
      </c>
      <c r="H323" s="4">
        <v>340900</v>
      </c>
      <c r="I323" s="4">
        <v>62000</v>
      </c>
      <c r="J323" s="4">
        <v>45500</v>
      </c>
      <c r="K323" s="4">
        <v>840300</v>
      </c>
      <c r="L323" s="4">
        <v>908650</v>
      </c>
      <c r="M323" s="4">
        <f>Tabla1[[#This Row],[BASE DEL DIA]]+Tabla1[[#This Row],[ENTREGAS]]+Tabla1[[#This Row],[TARJETAS]]+Tabla1[[#This Row],[NEQUI O QR]]+Tabla1[[#This Row],[VENTAS FE.CREDITO]]-Tabla1[[#This Row],[VENTAS NETAS]]-Tabla1[[#This Row],[BASE ANTERIOR]]</f>
        <v>4050</v>
      </c>
    </row>
    <row r="324" spans="1:13" ht="13.5" customHeight="1" x14ac:dyDescent="0.2">
      <c r="B324" s="2">
        <v>45713</v>
      </c>
      <c r="C324" s="3" t="s">
        <v>151</v>
      </c>
      <c r="D324" s="1" t="s">
        <v>18</v>
      </c>
      <c r="E324" s="1" t="s">
        <v>22</v>
      </c>
      <c r="F324" s="4">
        <v>2244600</v>
      </c>
      <c r="G324" s="4">
        <v>2164200</v>
      </c>
      <c r="H324" s="4">
        <v>68600</v>
      </c>
      <c r="I324" s="4">
        <v>6300</v>
      </c>
      <c r="J324" s="4">
        <v>8100</v>
      </c>
      <c r="K324" s="4">
        <v>908650</v>
      </c>
      <c r="L324" s="4">
        <v>912300</v>
      </c>
      <c r="M324" s="4">
        <f>Tabla1[[#This Row],[BASE DEL DIA]]+Tabla1[[#This Row],[ENTREGAS]]+Tabla1[[#This Row],[TARJETAS]]+Tabla1[[#This Row],[NEQUI O QR]]+Tabla1[[#This Row],[VENTAS FE.CREDITO]]-Tabla1[[#This Row],[VENTAS NETAS]]-Tabla1[[#This Row],[BASE ANTERIOR]]</f>
        <v>-1050</v>
      </c>
    </row>
    <row r="325" spans="1:13" ht="13.5" customHeight="1" x14ac:dyDescent="0.2">
      <c r="A325" s="1">
        <v>6366</v>
      </c>
      <c r="B325" s="2">
        <v>45712</v>
      </c>
      <c r="C325" s="3" t="s">
        <v>130</v>
      </c>
      <c r="D325" s="1" t="s">
        <v>18</v>
      </c>
      <c r="E325" s="1" t="s">
        <v>22</v>
      </c>
      <c r="F325" s="4">
        <v>4469950</v>
      </c>
      <c r="G325" s="4">
        <v>4380000</v>
      </c>
      <c r="H325" s="4">
        <v>73800</v>
      </c>
      <c r="I325" s="4">
        <v>45100</v>
      </c>
      <c r="J325" s="4">
        <v>1800</v>
      </c>
      <c r="K325" s="4">
        <v>912300</v>
      </c>
      <c r="L325" s="4">
        <v>942750</v>
      </c>
      <c r="M325" s="4">
        <f>Tabla1[[#This Row],[BASE DEL DIA]]+Tabla1[[#This Row],[ENTREGAS]]+Tabla1[[#This Row],[TARJETAS]]+Tabla1[[#This Row],[NEQUI O QR]]+Tabla1[[#This Row],[VENTAS FE.CREDITO]]-Tabla1[[#This Row],[VENTAS NETAS]]-Tabla1[[#This Row],[BASE ANTERIOR]]</f>
        <v>300</v>
      </c>
    </row>
    <row r="326" spans="1:13" ht="13.5" customHeight="1" x14ac:dyDescent="0.2">
      <c r="A326" s="1">
        <v>6365</v>
      </c>
      <c r="B326" s="2">
        <v>45712</v>
      </c>
      <c r="C326" s="3" t="s">
        <v>152</v>
      </c>
      <c r="D326" s="1" t="s">
        <v>16</v>
      </c>
      <c r="E326" s="1" t="s">
        <v>22</v>
      </c>
      <c r="F326" s="4">
        <v>2070700</v>
      </c>
      <c r="G326" s="4">
        <v>1858500</v>
      </c>
      <c r="H326" s="4">
        <v>68200</v>
      </c>
      <c r="I326" s="4">
        <v>59500</v>
      </c>
      <c r="J326" s="4">
        <v>0</v>
      </c>
      <c r="K326" s="4">
        <v>942750</v>
      </c>
      <c r="L326" s="4">
        <v>856000</v>
      </c>
      <c r="M326" s="4">
        <f>Tabla1[[#This Row],[BASE DEL DIA]]+Tabla1[[#This Row],[ENTREGAS]]+Tabla1[[#This Row],[TARJETAS]]+Tabla1[[#This Row],[NEQUI O QR]]+Tabla1[[#This Row],[VENTAS FE.CREDITO]]-Tabla1[[#This Row],[VENTAS NETAS]]-Tabla1[[#This Row],[BASE ANTERIOR]]</f>
        <v>2250</v>
      </c>
    </row>
    <row r="327" spans="1:13" ht="13.5" customHeight="1" x14ac:dyDescent="0.2">
      <c r="A327" s="1">
        <v>6364</v>
      </c>
      <c r="B327" s="2">
        <v>45711</v>
      </c>
      <c r="C327" s="3" t="s">
        <v>105</v>
      </c>
      <c r="D327" s="1" t="s">
        <v>19</v>
      </c>
      <c r="E327" s="1" t="s">
        <v>22</v>
      </c>
      <c r="F327" s="4">
        <v>4225900</v>
      </c>
      <c r="G327" s="4">
        <v>3950000</v>
      </c>
      <c r="H327" s="4">
        <v>220200</v>
      </c>
      <c r="I327" s="4">
        <v>92900</v>
      </c>
      <c r="K327" s="4">
        <v>856000</v>
      </c>
      <c r="L327" s="4">
        <v>891900</v>
      </c>
      <c r="M327" s="4">
        <f>Tabla1[[#This Row],[BASE DEL DIA]]+Tabla1[[#This Row],[ENTREGAS]]+Tabla1[[#This Row],[TARJETAS]]+Tabla1[[#This Row],[NEQUI O QR]]+Tabla1[[#This Row],[VENTAS FE.CREDITO]]-Tabla1[[#This Row],[VENTAS NETAS]]-Tabla1[[#This Row],[BASE ANTERIOR]]</f>
        <v>1300</v>
      </c>
    </row>
    <row r="328" spans="1:13" ht="13.5" customHeight="1" x14ac:dyDescent="0.2">
      <c r="A328" s="1">
        <v>6363</v>
      </c>
      <c r="B328" s="2">
        <v>45711</v>
      </c>
      <c r="C328" s="3" t="s">
        <v>175</v>
      </c>
      <c r="D328" s="1" t="s">
        <v>19</v>
      </c>
      <c r="E328" s="1" t="s">
        <v>22</v>
      </c>
      <c r="F328" s="4">
        <v>4081250</v>
      </c>
      <c r="G328" s="4">
        <v>3038000</v>
      </c>
      <c r="H328" s="4">
        <v>945000</v>
      </c>
      <c r="I328" s="4">
        <v>114700</v>
      </c>
      <c r="K328" s="4">
        <v>891900</v>
      </c>
      <c r="L328" s="4">
        <v>908750</v>
      </c>
      <c r="M328" s="4">
        <f>Tabla1[[#This Row],[BASE DEL DIA]]+Tabla1[[#This Row],[ENTREGAS]]+Tabla1[[#This Row],[TARJETAS]]+Tabla1[[#This Row],[NEQUI O QR]]+Tabla1[[#This Row],[VENTAS FE.CREDITO]]-Tabla1[[#This Row],[VENTAS NETAS]]-Tabla1[[#This Row],[BASE ANTERIOR]]</f>
        <v>-400</v>
      </c>
    </row>
    <row r="329" spans="1:13" ht="13.5" customHeight="1" x14ac:dyDescent="0.2">
      <c r="A329" s="1">
        <v>6362</v>
      </c>
      <c r="B329" s="2">
        <v>45710</v>
      </c>
      <c r="C329" s="3" t="s">
        <v>66</v>
      </c>
      <c r="D329" s="1" t="s">
        <v>17</v>
      </c>
      <c r="E329" s="1" t="s">
        <v>23</v>
      </c>
      <c r="F329" s="4">
        <v>4133300</v>
      </c>
      <c r="G329" s="4">
        <v>3620000</v>
      </c>
      <c r="H329" s="4">
        <v>439000</v>
      </c>
      <c r="I329" s="4">
        <v>14800</v>
      </c>
      <c r="J329" s="4">
        <v>26000</v>
      </c>
      <c r="K329" s="4">
        <v>908750</v>
      </c>
      <c r="L329" s="4">
        <v>851550</v>
      </c>
      <c r="M329" s="4">
        <f>Tabla1[[#This Row],[BASE DEL DIA]]+Tabla1[[#This Row],[ENTREGAS]]+Tabla1[[#This Row],[TARJETAS]]+Tabla1[[#This Row],[NEQUI O QR]]+Tabla1[[#This Row],[VENTAS FE.CREDITO]]-Tabla1[[#This Row],[VENTAS NETAS]]-Tabla1[[#This Row],[BASE ANTERIOR]]</f>
        <v>23700</v>
      </c>
    </row>
    <row r="330" spans="1:13" ht="13.5" customHeight="1" x14ac:dyDescent="0.2">
      <c r="A330" s="1">
        <v>6361</v>
      </c>
      <c r="B330" s="2">
        <v>45710</v>
      </c>
      <c r="C330" s="3" t="s">
        <v>145</v>
      </c>
      <c r="D330" s="1" t="s">
        <v>173</v>
      </c>
      <c r="E330" s="1" t="s">
        <v>22</v>
      </c>
      <c r="F330" s="4">
        <v>1697400</v>
      </c>
      <c r="G330" s="4">
        <v>1690000</v>
      </c>
      <c r="H330" s="4">
        <v>45000</v>
      </c>
      <c r="I330" s="4">
        <v>0</v>
      </c>
      <c r="J330" s="4">
        <v>24900</v>
      </c>
      <c r="K330" s="4">
        <v>851550</v>
      </c>
      <c r="L330" s="4">
        <v>912950</v>
      </c>
      <c r="M330" s="4">
        <f>Tabla1[[#This Row],[BASE DEL DIA]]+Tabla1[[#This Row],[ENTREGAS]]+Tabla1[[#This Row],[TARJETAS]]+Tabla1[[#This Row],[NEQUI O QR]]+Tabla1[[#This Row],[VENTAS FE.CREDITO]]-Tabla1[[#This Row],[VENTAS NETAS]]-Tabla1[[#This Row],[BASE ANTERIOR]]</f>
        <v>1100</v>
      </c>
    </row>
    <row r="331" spans="1:13" ht="13.5" customHeight="1" x14ac:dyDescent="0.2">
      <c r="A331" s="1">
        <v>6360</v>
      </c>
      <c r="B331" s="2">
        <v>45709</v>
      </c>
      <c r="C331" s="3" t="s">
        <v>73</v>
      </c>
      <c r="D331" s="1" t="s">
        <v>173</v>
      </c>
      <c r="E331" s="1" t="s">
        <v>23</v>
      </c>
      <c r="F331" s="4">
        <v>3462800</v>
      </c>
      <c r="G331" s="4">
        <v>3100000</v>
      </c>
      <c r="H331" s="4">
        <v>295400</v>
      </c>
      <c r="I331" s="4">
        <v>28100</v>
      </c>
      <c r="J331" s="4">
        <v>26700</v>
      </c>
      <c r="K331" s="4">
        <v>912950</v>
      </c>
      <c r="L331" s="4">
        <v>901100</v>
      </c>
      <c r="M331" s="4">
        <f>Tabla1[[#This Row],[BASE DEL DIA]]+Tabla1[[#This Row],[ENTREGAS]]+Tabla1[[#This Row],[TARJETAS]]+Tabla1[[#This Row],[NEQUI O QR]]+Tabla1[[#This Row],[VENTAS FE.CREDITO]]-Tabla1[[#This Row],[VENTAS NETAS]]-Tabla1[[#This Row],[BASE ANTERIOR]]</f>
        <v>-750</v>
      </c>
    </row>
    <row r="332" spans="1:13" ht="13.5" customHeight="1" x14ac:dyDescent="0.2">
      <c r="A332" s="1">
        <v>6359</v>
      </c>
      <c r="B332" s="2">
        <v>45709</v>
      </c>
      <c r="C332" s="3" t="s">
        <v>97</v>
      </c>
      <c r="D332" s="1" t="s">
        <v>17</v>
      </c>
      <c r="E332" s="1" t="s">
        <v>22</v>
      </c>
      <c r="F332" s="4">
        <v>2161300</v>
      </c>
      <c r="G332" s="4">
        <v>1983500</v>
      </c>
      <c r="H332" s="4">
        <v>106200</v>
      </c>
      <c r="I332" s="4">
        <v>70800</v>
      </c>
      <c r="K332" s="4">
        <v>901100</v>
      </c>
      <c r="L332" s="4">
        <v>897700</v>
      </c>
      <c r="M332" s="4">
        <f>Tabla1[[#This Row],[BASE DEL DIA]]+Tabla1[[#This Row],[ENTREGAS]]+Tabla1[[#This Row],[TARJETAS]]+Tabla1[[#This Row],[NEQUI O QR]]+Tabla1[[#This Row],[VENTAS FE.CREDITO]]-Tabla1[[#This Row],[VENTAS NETAS]]-Tabla1[[#This Row],[BASE ANTERIOR]]</f>
        <v>2600</v>
      </c>
    </row>
    <row r="333" spans="1:13" ht="13.5" customHeight="1" x14ac:dyDescent="0.2">
      <c r="A333" s="1">
        <v>6358</v>
      </c>
      <c r="B333" s="2">
        <v>45708</v>
      </c>
      <c r="C333" s="3" t="s">
        <v>106</v>
      </c>
      <c r="D333" s="1" t="s">
        <v>17</v>
      </c>
      <c r="E333" s="1" t="s">
        <v>23</v>
      </c>
      <c r="F333" s="4">
        <v>3410800</v>
      </c>
      <c r="G333" s="4">
        <v>3043100</v>
      </c>
      <c r="H333" s="4">
        <v>346300</v>
      </c>
      <c r="I333" s="4">
        <v>47300</v>
      </c>
      <c r="J333" s="4">
        <v>0</v>
      </c>
      <c r="K333" s="4">
        <v>897700</v>
      </c>
      <c r="L333" s="4">
        <v>924050</v>
      </c>
      <c r="M333" s="4">
        <f>Tabla1[[#This Row],[BASE DEL DIA]]+Tabla1[[#This Row],[ENTREGAS]]+Tabla1[[#This Row],[TARJETAS]]+Tabla1[[#This Row],[NEQUI O QR]]+Tabla1[[#This Row],[VENTAS FE.CREDITO]]-Tabla1[[#This Row],[VENTAS NETAS]]-Tabla1[[#This Row],[BASE ANTERIOR]]</f>
        <v>-450</v>
      </c>
    </row>
    <row r="334" spans="1:13" ht="13.5" customHeight="1" x14ac:dyDescent="0.2">
      <c r="A334" s="1">
        <v>6357</v>
      </c>
      <c r="B334" s="2">
        <v>45708</v>
      </c>
      <c r="C334" s="3" t="s">
        <v>126</v>
      </c>
      <c r="D334" s="1" t="s">
        <v>172</v>
      </c>
      <c r="E334" s="1" t="s">
        <v>22</v>
      </c>
      <c r="F334" s="4">
        <v>1861000</v>
      </c>
      <c r="G334" s="4">
        <v>1500000</v>
      </c>
      <c r="H334" s="4">
        <v>308700</v>
      </c>
      <c r="I334" s="4">
        <v>10400</v>
      </c>
      <c r="J334" s="4">
        <v>0</v>
      </c>
      <c r="K334" s="4">
        <v>924050</v>
      </c>
      <c r="L334" s="4">
        <v>881300</v>
      </c>
      <c r="M334" s="4">
        <f>Tabla1[[#This Row],[BASE DEL DIA]]+Tabla1[[#This Row],[ENTREGAS]]+Tabla1[[#This Row],[TARJETAS]]+Tabla1[[#This Row],[NEQUI O QR]]+Tabla1[[#This Row],[VENTAS FE.CREDITO]]-Tabla1[[#This Row],[VENTAS NETAS]]-Tabla1[[#This Row],[BASE ANTERIOR]]</f>
        <v>850</v>
      </c>
    </row>
    <row r="335" spans="1:13" ht="13.5" customHeight="1" x14ac:dyDescent="0.2">
      <c r="A335" s="1">
        <v>6356</v>
      </c>
      <c r="B335" s="2">
        <v>45707</v>
      </c>
      <c r="C335" s="3" t="s">
        <v>66</v>
      </c>
      <c r="D335" s="1" t="s">
        <v>17</v>
      </c>
      <c r="E335" s="1" t="s">
        <v>23</v>
      </c>
      <c r="F335" s="4">
        <v>3646400</v>
      </c>
      <c r="G335" s="4">
        <v>3070000</v>
      </c>
      <c r="H335" s="4">
        <v>570800</v>
      </c>
      <c r="I335" s="4">
        <v>10000</v>
      </c>
      <c r="J335" s="4">
        <v>10700</v>
      </c>
      <c r="K335" s="4">
        <v>881300</v>
      </c>
      <c r="L335" s="4">
        <v>896100</v>
      </c>
      <c r="M335" s="4">
        <f>Tabla1[[#This Row],[BASE DEL DIA]]+Tabla1[[#This Row],[ENTREGAS]]+Tabla1[[#This Row],[TARJETAS]]+Tabla1[[#This Row],[NEQUI O QR]]+Tabla1[[#This Row],[VENTAS FE.CREDITO]]-Tabla1[[#This Row],[VENTAS NETAS]]-Tabla1[[#This Row],[BASE ANTERIOR]]</f>
        <v>300</v>
      </c>
    </row>
    <row r="336" spans="1:13" ht="13.5" customHeight="1" x14ac:dyDescent="0.2">
      <c r="A336" s="1">
        <v>6355</v>
      </c>
      <c r="B336" s="2">
        <v>45707</v>
      </c>
      <c r="C336" s="3" t="s">
        <v>174</v>
      </c>
      <c r="D336" s="1" t="s">
        <v>17</v>
      </c>
      <c r="E336" s="1" t="s">
        <v>23</v>
      </c>
      <c r="F336" s="4">
        <v>2616700</v>
      </c>
      <c r="G336" s="4">
        <v>2514000</v>
      </c>
      <c r="H336" s="4">
        <v>125600</v>
      </c>
      <c r="I336" s="4">
        <v>22400</v>
      </c>
      <c r="K336" s="4">
        <v>896100</v>
      </c>
      <c r="L336" s="4">
        <v>836250</v>
      </c>
      <c r="M336" s="4">
        <f>Tabla1[[#This Row],[BASE DEL DIA]]+Tabla1[[#This Row],[ENTREGAS]]+Tabla1[[#This Row],[TARJETAS]]+Tabla1[[#This Row],[NEQUI O QR]]+Tabla1[[#This Row],[VENTAS FE.CREDITO]]-Tabla1[[#This Row],[VENTAS NETAS]]-Tabla1[[#This Row],[BASE ANTERIOR]]</f>
        <v>105150</v>
      </c>
    </row>
    <row r="337" spans="1:13" ht="13.5" customHeight="1" x14ac:dyDescent="0.2">
      <c r="A337" s="1">
        <v>6354</v>
      </c>
      <c r="B337" s="2">
        <v>45706</v>
      </c>
      <c r="C337" s="3" t="s">
        <v>130</v>
      </c>
      <c r="D337" s="1" t="s">
        <v>17</v>
      </c>
      <c r="E337" s="1" t="s">
        <v>23</v>
      </c>
      <c r="F337" s="4">
        <v>4984000</v>
      </c>
      <c r="G337" s="4">
        <v>4535900</v>
      </c>
      <c r="H337" s="4">
        <v>413500</v>
      </c>
      <c r="I337" s="4">
        <v>105400</v>
      </c>
      <c r="J337" s="4">
        <v>2500</v>
      </c>
      <c r="K337" s="4">
        <v>836250</v>
      </c>
      <c r="L337" s="4">
        <v>909000</v>
      </c>
      <c r="M337" s="4">
        <f>Tabla1[[#This Row],[BASE DEL DIA]]+Tabla1[[#This Row],[ENTREGAS]]+Tabla1[[#This Row],[TARJETAS]]+Tabla1[[#This Row],[NEQUI O QR]]+Tabla1[[#This Row],[VENTAS FE.CREDITO]]-Tabla1[[#This Row],[VENTAS NETAS]]-Tabla1[[#This Row],[BASE ANTERIOR]]</f>
        <v>550</v>
      </c>
    </row>
    <row r="338" spans="1:13" ht="13.5" customHeight="1" x14ac:dyDescent="0.2">
      <c r="A338" s="1">
        <v>6353</v>
      </c>
      <c r="B338" s="2">
        <v>45706</v>
      </c>
      <c r="C338" s="3" t="s">
        <v>134</v>
      </c>
      <c r="D338" s="1" t="s">
        <v>17</v>
      </c>
      <c r="E338" s="1" t="s">
        <v>22</v>
      </c>
      <c r="F338" s="4">
        <v>2710100</v>
      </c>
      <c r="G338" s="4">
        <v>2572100</v>
      </c>
      <c r="H338" s="4">
        <v>51700</v>
      </c>
      <c r="I338" s="4">
        <v>63900</v>
      </c>
      <c r="J338" s="4">
        <v>0</v>
      </c>
      <c r="K338" s="4">
        <v>909000</v>
      </c>
      <c r="L338" s="4">
        <v>886600</v>
      </c>
      <c r="M338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339" spans="1:13" ht="13.5" customHeight="1" x14ac:dyDescent="0.2">
      <c r="A339" s="1">
        <v>6352</v>
      </c>
      <c r="B339" s="2">
        <v>45705</v>
      </c>
      <c r="C339" s="3" t="s">
        <v>73</v>
      </c>
      <c r="D339" s="1" t="s">
        <v>173</v>
      </c>
      <c r="E339" s="1" t="s">
        <v>23</v>
      </c>
      <c r="F339" s="4">
        <v>5297600</v>
      </c>
      <c r="G339" s="4">
        <v>4990000</v>
      </c>
      <c r="H339" s="4">
        <v>314800</v>
      </c>
      <c r="I339" s="4">
        <v>72900</v>
      </c>
      <c r="J339" s="4">
        <v>4200</v>
      </c>
      <c r="K339" s="4">
        <v>886600</v>
      </c>
      <c r="L339" s="4">
        <v>967600</v>
      </c>
      <c r="M339" s="4">
        <f>Tabla1[[#This Row],[BASE DEL DIA]]+Tabla1[[#This Row],[ENTREGAS]]+Tabla1[[#This Row],[TARJETAS]]+Tabla1[[#This Row],[NEQUI O QR]]+Tabla1[[#This Row],[VENTAS FE.CREDITO]]-Tabla1[[#This Row],[VENTAS NETAS]]-Tabla1[[#This Row],[BASE ANTERIOR]]</f>
        <v>3300</v>
      </c>
    </row>
    <row r="340" spans="1:13" ht="13.5" customHeight="1" x14ac:dyDescent="0.2">
      <c r="A340" s="1">
        <v>6351</v>
      </c>
      <c r="B340" s="2">
        <v>45705</v>
      </c>
      <c r="C340" s="3" t="s">
        <v>97</v>
      </c>
      <c r="D340" s="1" t="s">
        <v>17</v>
      </c>
      <c r="E340" s="1" t="s">
        <v>22</v>
      </c>
      <c r="F340" s="4">
        <v>4734900</v>
      </c>
      <c r="G340" s="4">
        <v>3987800</v>
      </c>
      <c r="H340" s="4">
        <v>122300</v>
      </c>
      <c r="I340" s="4">
        <v>84900</v>
      </c>
      <c r="J340" s="4">
        <v>520100</v>
      </c>
      <c r="K340" s="4">
        <v>967600</v>
      </c>
      <c r="L340" s="4">
        <v>949100</v>
      </c>
      <c r="M340" s="4">
        <f>Tabla1[[#This Row],[BASE DEL DIA]]+Tabla1[[#This Row],[ENTREGAS]]+Tabla1[[#This Row],[TARJETAS]]+Tabla1[[#This Row],[NEQUI O QR]]+Tabla1[[#This Row],[VENTAS FE.CREDITO]]-Tabla1[[#This Row],[VENTAS NETAS]]-Tabla1[[#This Row],[BASE ANTERIOR]]</f>
        <v>-1300</v>
      </c>
    </row>
    <row r="341" spans="1:13" ht="13.5" customHeight="1" x14ac:dyDescent="0.2">
      <c r="A341" s="1">
        <v>6350</v>
      </c>
      <c r="B341" s="2">
        <v>45704</v>
      </c>
      <c r="C341" s="3" t="s">
        <v>158</v>
      </c>
      <c r="D341" s="1" t="s">
        <v>18</v>
      </c>
      <c r="E341" s="1" t="s">
        <v>23</v>
      </c>
      <c r="F341" s="4">
        <v>5300900</v>
      </c>
      <c r="G341" s="4">
        <v>4630000</v>
      </c>
      <c r="H341" s="4">
        <v>227400</v>
      </c>
      <c r="I341" s="4">
        <v>123800</v>
      </c>
      <c r="J341" s="4">
        <v>330400</v>
      </c>
      <c r="K341" s="4">
        <v>949100</v>
      </c>
      <c r="L341" s="4">
        <v>958300</v>
      </c>
      <c r="M341" s="4">
        <f>Tabla1[[#This Row],[BASE DEL DIA]]+Tabla1[[#This Row],[ENTREGAS]]+Tabla1[[#This Row],[TARJETAS]]+Tabla1[[#This Row],[NEQUI O QR]]+Tabla1[[#This Row],[VENTAS FE.CREDITO]]-Tabla1[[#This Row],[VENTAS NETAS]]-Tabla1[[#This Row],[BASE ANTERIOR]]</f>
        <v>1500</v>
      </c>
    </row>
    <row r="342" spans="1:13" ht="13.5" customHeight="1" x14ac:dyDescent="0.2">
      <c r="A342" s="1">
        <v>6349</v>
      </c>
      <c r="B342" s="2">
        <v>45704</v>
      </c>
      <c r="C342" s="3" t="s">
        <v>87</v>
      </c>
      <c r="D342" s="1" t="s">
        <v>16</v>
      </c>
      <c r="E342" s="1" t="s">
        <v>22</v>
      </c>
      <c r="F342" s="4">
        <v>4663550</v>
      </c>
      <c r="G342" s="4">
        <v>4280000</v>
      </c>
      <c r="H342" s="4">
        <v>364950</v>
      </c>
      <c r="I342" s="4">
        <v>24300</v>
      </c>
      <c r="K342" s="4">
        <v>958300</v>
      </c>
      <c r="L342" s="4">
        <v>966100</v>
      </c>
      <c r="M342" s="4">
        <f>Tabla1[[#This Row],[BASE DEL DIA]]+Tabla1[[#This Row],[ENTREGAS]]+Tabla1[[#This Row],[TARJETAS]]+Tabla1[[#This Row],[NEQUI O QR]]+Tabla1[[#This Row],[VENTAS FE.CREDITO]]-Tabla1[[#This Row],[VENTAS NETAS]]-Tabla1[[#This Row],[BASE ANTERIOR]]</f>
        <v>-2100</v>
      </c>
    </row>
    <row r="343" spans="1:13" ht="13.5" customHeight="1" x14ac:dyDescent="0.2">
      <c r="A343" s="1">
        <v>6348</v>
      </c>
      <c r="B343" s="2">
        <v>45703</v>
      </c>
      <c r="C343" s="3" t="s">
        <v>105</v>
      </c>
      <c r="D343" s="1" t="s">
        <v>16</v>
      </c>
      <c r="E343" s="1" t="s">
        <v>23</v>
      </c>
      <c r="F343" s="4">
        <v>4467300</v>
      </c>
      <c r="G343" s="4">
        <v>4201900</v>
      </c>
      <c r="H343" s="4">
        <v>225200</v>
      </c>
      <c r="I343" s="4">
        <v>54600</v>
      </c>
      <c r="J343" s="4">
        <v>0</v>
      </c>
      <c r="K343" s="4">
        <v>966100</v>
      </c>
      <c r="L343" s="4">
        <v>977900</v>
      </c>
      <c r="M343" s="4">
        <f>Tabla1[[#This Row],[BASE DEL DIA]]+Tabla1[[#This Row],[ENTREGAS]]+Tabla1[[#This Row],[TARJETAS]]+Tabla1[[#This Row],[NEQUI O QR]]+Tabla1[[#This Row],[VENTAS FE.CREDITO]]-Tabla1[[#This Row],[VENTAS NETAS]]-Tabla1[[#This Row],[BASE ANTERIOR]]</f>
        <v>2600</v>
      </c>
    </row>
    <row r="344" spans="1:13" ht="13.5" customHeight="1" x14ac:dyDescent="0.2">
      <c r="A344" s="1">
        <v>6347</v>
      </c>
      <c r="B344" s="2">
        <v>45703</v>
      </c>
      <c r="C344" s="3" t="s">
        <v>157</v>
      </c>
      <c r="D344" s="1" t="s">
        <v>18</v>
      </c>
      <c r="E344" s="1" t="s">
        <v>22</v>
      </c>
      <c r="F344" s="4">
        <v>3209300</v>
      </c>
      <c r="G344" s="4">
        <v>2571400</v>
      </c>
      <c r="H344" s="4">
        <v>255000</v>
      </c>
      <c r="I344" s="4">
        <v>330100</v>
      </c>
      <c r="J344" s="4">
        <v>4300</v>
      </c>
      <c r="K344" s="4">
        <v>977900</v>
      </c>
      <c r="L344" s="4">
        <v>929300</v>
      </c>
      <c r="M344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345" spans="1:13" ht="13.5" customHeight="1" x14ac:dyDescent="0.2">
      <c r="A345" s="1">
        <v>6346</v>
      </c>
      <c r="B345" s="2">
        <v>45702</v>
      </c>
      <c r="C345" s="3" t="s">
        <v>96</v>
      </c>
      <c r="D345" s="1" t="s">
        <v>18</v>
      </c>
      <c r="E345" s="1" t="s">
        <v>23</v>
      </c>
      <c r="F345" s="4">
        <v>4172100</v>
      </c>
      <c r="G345" s="4">
        <v>3300000</v>
      </c>
      <c r="H345" s="4">
        <v>465100</v>
      </c>
      <c r="I345" s="4">
        <v>297400</v>
      </c>
      <c r="J345" s="4">
        <v>7800</v>
      </c>
      <c r="K345" s="4">
        <v>929300</v>
      </c>
      <c r="L345" s="4">
        <v>827500</v>
      </c>
      <c r="M345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346" spans="1:13" ht="13.5" customHeight="1" x14ac:dyDescent="0.2">
      <c r="A346" s="1">
        <v>6345</v>
      </c>
      <c r="B346" s="2">
        <v>45702</v>
      </c>
      <c r="C346" s="3" t="s">
        <v>140</v>
      </c>
      <c r="D346" s="1" t="s">
        <v>16</v>
      </c>
      <c r="E346" s="1" t="s">
        <v>22</v>
      </c>
      <c r="F346" s="4">
        <v>1832900</v>
      </c>
      <c r="G346" s="4">
        <v>1735900</v>
      </c>
      <c r="H346" s="4">
        <v>190800</v>
      </c>
      <c r="I346" s="4">
        <v>8700</v>
      </c>
      <c r="J346" s="4">
        <v>0</v>
      </c>
      <c r="K346" s="4">
        <v>827500</v>
      </c>
      <c r="L346" s="4">
        <v>926150</v>
      </c>
      <c r="M346" s="4">
        <f>Tabla1[[#This Row],[BASE DEL DIA]]+Tabla1[[#This Row],[ENTREGAS]]+Tabla1[[#This Row],[TARJETAS]]+Tabla1[[#This Row],[NEQUI O QR]]+Tabla1[[#This Row],[VENTAS FE.CREDITO]]-Tabla1[[#This Row],[VENTAS NETAS]]-Tabla1[[#This Row],[BASE ANTERIOR]]</f>
        <v>3850</v>
      </c>
    </row>
    <row r="347" spans="1:13" ht="13.5" customHeight="1" x14ac:dyDescent="0.2">
      <c r="A347" s="1">
        <v>6344</v>
      </c>
      <c r="B347" s="2">
        <v>45701</v>
      </c>
      <c r="C347" s="3" t="s">
        <v>154</v>
      </c>
      <c r="D347" s="1" t="s">
        <v>16</v>
      </c>
      <c r="E347" s="1" t="s">
        <v>23</v>
      </c>
      <c r="F347" s="4">
        <v>2617400</v>
      </c>
      <c r="G347" s="4">
        <v>2300000</v>
      </c>
      <c r="H347" s="4">
        <v>235200</v>
      </c>
      <c r="I347" s="4">
        <v>109700</v>
      </c>
      <c r="K347" s="4">
        <v>926150</v>
      </c>
      <c r="L347" s="4">
        <v>951950</v>
      </c>
      <c r="M347" s="4">
        <f>Tabla1[[#This Row],[BASE DEL DIA]]+Tabla1[[#This Row],[ENTREGAS]]+Tabla1[[#This Row],[TARJETAS]]+Tabla1[[#This Row],[NEQUI O QR]]+Tabla1[[#This Row],[VENTAS FE.CREDITO]]-Tabla1[[#This Row],[VENTAS NETAS]]-Tabla1[[#This Row],[BASE ANTERIOR]]</f>
        <v>1700</v>
      </c>
    </row>
    <row r="348" spans="1:13" ht="13.5" customHeight="1" x14ac:dyDescent="0.2">
      <c r="A348" s="1">
        <v>6343</v>
      </c>
      <c r="B348" s="2">
        <v>45701</v>
      </c>
      <c r="C348" s="3" t="s">
        <v>108</v>
      </c>
      <c r="D348" s="1" t="s">
        <v>18</v>
      </c>
      <c r="E348" s="1" t="s">
        <v>22</v>
      </c>
      <c r="F348" s="4">
        <v>2167600</v>
      </c>
      <c r="G348" s="4">
        <v>1931350</v>
      </c>
      <c r="H348" s="4">
        <v>173000</v>
      </c>
      <c r="I348" s="4">
        <v>0</v>
      </c>
      <c r="K348" s="4">
        <v>951950</v>
      </c>
      <c r="L348" s="4">
        <v>910450</v>
      </c>
      <c r="M348" s="4">
        <f>Tabla1[[#This Row],[BASE DEL DIA]]+Tabla1[[#This Row],[ENTREGAS]]+Tabla1[[#This Row],[TARJETAS]]+Tabla1[[#This Row],[NEQUI O QR]]+Tabla1[[#This Row],[VENTAS FE.CREDITO]]-Tabla1[[#This Row],[VENTAS NETAS]]-Tabla1[[#This Row],[BASE ANTERIOR]]</f>
        <v>-21750</v>
      </c>
    </row>
    <row r="349" spans="1:13" ht="13.5" customHeight="1" x14ac:dyDescent="0.2">
      <c r="B349" s="2">
        <v>45700</v>
      </c>
      <c r="C349" s="3" t="s">
        <v>107</v>
      </c>
      <c r="D349" s="1" t="s">
        <v>16</v>
      </c>
      <c r="E349" s="1" t="s">
        <v>23</v>
      </c>
      <c r="F349" s="4">
        <v>3671700</v>
      </c>
      <c r="G349" s="4">
        <v>3408000</v>
      </c>
      <c r="H349" s="4">
        <v>112200</v>
      </c>
      <c r="I349" s="4">
        <v>133500</v>
      </c>
      <c r="J349" s="4">
        <v>51200</v>
      </c>
      <c r="K349" s="4">
        <v>910450</v>
      </c>
      <c r="L349" s="4">
        <v>940000</v>
      </c>
      <c r="M349" s="4">
        <f>Tabla1[[#This Row],[BASE DEL DIA]]+Tabla1[[#This Row],[ENTREGAS]]+Tabla1[[#This Row],[TARJETAS]]+Tabla1[[#This Row],[NEQUI O QR]]+Tabla1[[#This Row],[VENTAS FE.CREDITO]]-Tabla1[[#This Row],[VENTAS NETAS]]-Tabla1[[#This Row],[BASE ANTERIOR]]</f>
        <v>3650</v>
      </c>
    </row>
    <row r="350" spans="1:13" ht="13.5" customHeight="1" x14ac:dyDescent="0.2">
      <c r="A350" s="1">
        <v>6341</v>
      </c>
      <c r="B350" s="2">
        <v>45700</v>
      </c>
      <c r="C350" s="3" t="s">
        <v>62</v>
      </c>
      <c r="D350" s="1" t="s">
        <v>18</v>
      </c>
      <c r="E350" s="1" t="s">
        <v>22</v>
      </c>
      <c r="F350" s="4">
        <v>1642800</v>
      </c>
      <c r="G350" s="4">
        <v>1590000</v>
      </c>
      <c r="H350" s="4">
        <v>51500</v>
      </c>
      <c r="I350" s="4">
        <v>91200</v>
      </c>
      <c r="J350" s="4">
        <v>6100</v>
      </c>
      <c r="K350" s="4">
        <v>940000</v>
      </c>
      <c r="L350" s="4">
        <v>1036150</v>
      </c>
      <c r="M350" s="4">
        <f>Tabla1[[#This Row],[BASE DEL DIA]]+Tabla1[[#This Row],[ENTREGAS]]+Tabla1[[#This Row],[TARJETAS]]+Tabla1[[#This Row],[NEQUI O QR]]+Tabla1[[#This Row],[VENTAS FE.CREDITO]]-Tabla1[[#This Row],[VENTAS NETAS]]-Tabla1[[#This Row],[BASE ANTERIOR]]</f>
        <v>-150</v>
      </c>
    </row>
    <row r="351" spans="1:13" ht="13.5" customHeight="1" x14ac:dyDescent="0.2">
      <c r="A351" s="1">
        <v>6340</v>
      </c>
      <c r="B351" s="2">
        <v>45699</v>
      </c>
      <c r="C351" s="3" t="s">
        <v>96</v>
      </c>
      <c r="D351" s="1" t="s">
        <v>18</v>
      </c>
      <c r="E351" s="1" t="s">
        <v>23</v>
      </c>
      <c r="F351" s="4">
        <v>3610950</v>
      </c>
      <c r="G351" s="4">
        <v>3176500</v>
      </c>
      <c r="H351" s="4">
        <v>197300</v>
      </c>
      <c r="I351" s="4">
        <v>107200</v>
      </c>
      <c r="J351" s="4">
        <v>39550</v>
      </c>
      <c r="K351" s="4">
        <v>1036150</v>
      </c>
      <c r="L351" s="4">
        <v>945150</v>
      </c>
      <c r="M351" s="4">
        <f>Tabla1[[#This Row],[BASE DEL DIA]]+Tabla1[[#This Row],[ENTREGAS]]+Tabla1[[#This Row],[TARJETAS]]+Tabla1[[#This Row],[NEQUI O QR]]+Tabla1[[#This Row],[VENTAS FE.CREDITO]]-Tabla1[[#This Row],[VENTAS NETAS]]-Tabla1[[#This Row],[BASE ANTERIOR]]</f>
        <v>600</v>
      </c>
    </row>
    <row r="352" spans="1:13" ht="13.5" customHeight="1" x14ac:dyDescent="0.2">
      <c r="A352" s="1">
        <v>6339</v>
      </c>
      <c r="B352" s="2">
        <v>45699</v>
      </c>
      <c r="C352" s="3" t="s">
        <v>125</v>
      </c>
      <c r="D352" s="1" t="s">
        <v>172</v>
      </c>
      <c r="E352" s="1" t="s">
        <v>22</v>
      </c>
      <c r="F352" s="4">
        <v>1749100</v>
      </c>
      <c r="G352" s="4">
        <v>1729700</v>
      </c>
      <c r="H352" s="4">
        <v>78700</v>
      </c>
      <c r="I352" s="4">
        <v>14100</v>
      </c>
      <c r="J352" s="4">
        <v>1600</v>
      </c>
      <c r="K352" s="4">
        <v>945150</v>
      </c>
      <c r="L352" s="4">
        <v>1020350</v>
      </c>
      <c r="M352" s="4">
        <f>Tabla1[[#This Row],[BASE DEL DIA]]+Tabla1[[#This Row],[ENTREGAS]]+Tabla1[[#This Row],[TARJETAS]]+Tabla1[[#This Row],[NEQUI O QR]]+Tabla1[[#This Row],[VENTAS FE.CREDITO]]-Tabla1[[#This Row],[VENTAS NETAS]]-Tabla1[[#This Row],[BASE ANTERIOR]]</f>
        <v>-200</v>
      </c>
    </row>
    <row r="353" spans="1:13" ht="13.5" customHeight="1" x14ac:dyDescent="0.2">
      <c r="A353" s="1">
        <v>6338</v>
      </c>
      <c r="B353" s="2">
        <v>45698</v>
      </c>
      <c r="C353" s="3" t="s">
        <v>105</v>
      </c>
      <c r="D353" s="1" t="s">
        <v>18</v>
      </c>
      <c r="E353" s="1" t="s">
        <v>23</v>
      </c>
      <c r="F353" s="4">
        <v>3789900</v>
      </c>
      <c r="G353" s="4">
        <v>2950000</v>
      </c>
      <c r="H353" s="4">
        <v>568400</v>
      </c>
      <c r="I353" s="4">
        <v>66000</v>
      </c>
      <c r="J353" s="4">
        <v>22800</v>
      </c>
      <c r="K353" s="4">
        <v>1020350</v>
      </c>
      <c r="L353" s="4">
        <v>836950</v>
      </c>
      <c r="M353" s="4">
        <f>Tabla1[[#This Row],[BASE DEL DIA]]+Tabla1[[#This Row],[ENTREGAS]]+Tabla1[[#This Row],[TARJETAS]]+Tabla1[[#This Row],[NEQUI O QR]]+Tabla1[[#This Row],[VENTAS FE.CREDITO]]-Tabla1[[#This Row],[VENTAS NETAS]]-Tabla1[[#This Row],[BASE ANTERIOR]]</f>
        <v>700</v>
      </c>
    </row>
    <row r="354" spans="1:13" ht="13.5" customHeight="1" x14ac:dyDescent="0.2">
      <c r="A354" s="1">
        <v>6337</v>
      </c>
      <c r="B354" s="2">
        <v>45698</v>
      </c>
      <c r="C354" s="3" t="s">
        <v>67</v>
      </c>
      <c r="D354" s="1" t="s">
        <v>16</v>
      </c>
      <c r="E354" s="1" t="s">
        <v>22</v>
      </c>
      <c r="F354" s="4">
        <v>3141700</v>
      </c>
      <c r="G354" s="4">
        <v>2605650</v>
      </c>
      <c r="H354" s="4">
        <v>647600</v>
      </c>
      <c r="I354" s="4">
        <v>12900</v>
      </c>
      <c r="J354" s="4">
        <v>0</v>
      </c>
      <c r="K354" s="4">
        <v>836950</v>
      </c>
      <c r="L354" s="4">
        <v>957400</v>
      </c>
      <c r="M354" s="4">
        <f>Tabla1[[#This Row],[BASE DEL DIA]]+Tabla1[[#This Row],[ENTREGAS]]+Tabla1[[#This Row],[TARJETAS]]+Tabla1[[#This Row],[NEQUI O QR]]+Tabla1[[#This Row],[VENTAS FE.CREDITO]]-Tabla1[[#This Row],[VENTAS NETAS]]-Tabla1[[#This Row],[BASE ANTERIOR]]</f>
        <v>4000</v>
      </c>
    </row>
    <row r="355" spans="1:13" ht="13.5" customHeight="1" x14ac:dyDescent="0.2">
      <c r="A355" s="1">
        <v>6336</v>
      </c>
      <c r="B355" s="2">
        <v>45697</v>
      </c>
      <c r="C355" s="3" t="s">
        <v>154</v>
      </c>
      <c r="D355" s="1" t="s">
        <v>173</v>
      </c>
      <c r="E355" s="1" t="s">
        <v>23</v>
      </c>
      <c r="F355" s="4">
        <v>4270000</v>
      </c>
      <c r="G355" s="4">
        <v>3844300</v>
      </c>
      <c r="H355" s="4">
        <v>72000</v>
      </c>
      <c r="I355" s="4">
        <v>310900</v>
      </c>
      <c r="K355" s="4">
        <v>957400</v>
      </c>
      <c r="L355" s="4">
        <v>915450</v>
      </c>
      <c r="M355" s="4">
        <f>Tabla1[[#This Row],[BASE DEL DIA]]+Tabla1[[#This Row],[ENTREGAS]]+Tabla1[[#This Row],[TARJETAS]]+Tabla1[[#This Row],[NEQUI O QR]]+Tabla1[[#This Row],[VENTAS FE.CREDITO]]-Tabla1[[#This Row],[VENTAS NETAS]]-Tabla1[[#This Row],[BASE ANTERIOR]]</f>
        <v>-850</v>
      </c>
    </row>
    <row r="356" spans="1:13" ht="13.5" customHeight="1" x14ac:dyDescent="0.2">
      <c r="A356" s="1">
        <v>6335</v>
      </c>
      <c r="B356" s="2">
        <v>45697</v>
      </c>
      <c r="C356" s="3" t="s">
        <v>137</v>
      </c>
      <c r="D356" s="1" t="s">
        <v>17</v>
      </c>
      <c r="E356" s="1" t="s">
        <v>22</v>
      </c>
      <c r="F356" s="4">
        <v>4160550</v>
      </c>
      <c r="G356" s="4">
        <v>3689500</v>
      </c>
      <c r="H356" s="4">
        <v>312200</v>
      </c>
      <c r="I356" s="4">
        <v>83600</v>
      </c>
      <c r="J356" s="4">
        <v>36600</v>
      </c>
      <c r="K356" s="4">
        <v>915450</v>
      </c>
      <c r="L356" s="4">
        <v>876200</v>
      </c>
      <c r="M356" s="4">
        <f>Tabla1[[#This Row],[BASE DEL DIA]]+Tabla1[[#This Row],[ENTREGAS]]+Tabla1[[#This Row],[TARJETAS]]+Tabla1[[#This Row],[NEQUI O QR]]+Tabla1[[#This Row],[VENTAS FE.CREDITO]]-Tabla1[[#This Row],[VENTAS NETAS]]-Tabla1[[#This Row],[BASE ANTERIOR]]</f>
        <v>600</v>
      </c>
    </row>
    <row r="357" spans="1:13" ht="13.5" customHeight="1" x14ac:dyDescent="0.2">
      <c r="B357" s="2">
        <v>45696</v>
      </c>
      <c r="C357" s="3" t="s">
        <v>130</v>
      </c>
      <c r="D357" s="1" t="s">
        <v>17</v>
      </c>
      <c r="E357" s="1" t="s">
        <v>23</v>
      </c>
      <c r="M357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358" spans="1:13" ht="13.5" customHeight="1" x14ac:dyDescent="0.2">
      <c r="A358" s="1">
        <v>6334</v>
      </c>
      <c r="B358" s="2">
        <v>45696</v>
      </c>
      <c r="C358" s="3" t="s">
        <v>130</v>
      </c>
      <c r="D358" s="1" t="s">
        <v>17</v>
      </c>
      <c r="E358" s="1" t="s">
        <v>23</v>
      </c>
      <c r="F358" s="4">
        <v>4549400</v>
      </c>
      <c r="G358" s="4">
        <v>4405000</v>
      </c>
      <c r="H358" s="4">
        <v>139100</v>
      </c>
      <c r="I358" s="4">
        <v>23700</v>
      </c>
      <c r="J358" s="4">
        <v>0</v>
      </c>
      <c r="K358" s="4">
        <v>876200</v>
      </c>
      <c r="L358" s="4">
        <v>895350</v>
      </c>
      <c r="M358" s="4">
        <f>Tabla1[[#This Row],[BASE DEL DIA]]+Tabla1[[#This Row],[ENTREGAS]]+Tabla1[[#This Row],[TARJETAS]]+Tabla1[[#This Row],[NEQUI O QR]]+Tabla1[[#This Row],[VENTAS FE.CREDITO]]-Tabla1[[#This Row],[VENTAS NETAS]]-Tabla1[[#This Row],[BASE ANTERIOR]]</f>
        <v>-750</v>
      </c>
    </row>
    <row r="359" spans="1:13" ht="13.5" customHeight="1" x14ac:dyDescent="0.2">
      <c r="A359" s="1">
        <v>6333</v>
      </c>
      <c r="B359" s="2">
        <v>45696</v>
      </c>
      <c r="C359" s="3" t="s">
        <v>140</v>
      </c>
      <c r="D359" s="1" t="s">
        <v>173</v>
      </c>
      <c r="E359" s="1" t="s">
        <v>22</v>
      </c>
      <c r="F359" s="4">
        <v>1991400</v>
      </c>
      <c r="G359" s="4">
        <v>1920000</v>
      </c>
      <c r="H359" s="4">
        <v>46100</v>
      </c>
      <c r="I359" s="4">
        <v>0</v>
      </c>
      <c r="J359" s="4">
        <v>11800</v>
      </c>
      <c r="K359" s="4">
        <v>895350</v>
      </c>
      <c r="L359" s="4">
        <v>881150</v>
      </c>
      <c r="M359" s="4">
        <f>Tabla1[[#This Row],[BASE DEL DIA]]+Tabla1[[#This Row],[ENTREGAS]]+Tabla1[[#This Row],[TARJETAS]]+Tabla1[[#This Row],[NEQUI O QR]]+Tabla1[[#This Row],[VENTAS FE.CREDITO]]-Tabla1[[#This Row],[VENTAS NETAS]]-Tabla1[[#This Row],[BASE ANTERIOR]]</f>
        <v>700</v>
      </c>
    </row>
    <row r="360" spans="1:13" ht="13.5" customHeight="1" x14ac:dyDescent="0.2">
      <c r="A360" s="1">
        <v>6332</v>
      </c>
      <c r="B360" s="2">
        <v>45695</v>
      </c>
      <c r="C360" s="3" t="s">
        <v>85</v>
      </c>
      <c r="D360" s="1" t="s">
        <v>173</v>
      </c>
      <c r="E360" s="1" t="s">
        <v>23</v>
      </c>
      <c r="F360" s="4">
        <v>3282800</v>
      </c>
      <c r="G360" s="4">
        <v>2936000</v>
      </c>
      <c r="H360" s="4">
        <v>306200</v>
      </c>
      <c r="I360" s="4">
        <v>27500</v>
      </c>
      <c r="J360" s="4">
        <v>1200</v>
      </c>
      <c r="K360" s="4">
        <v>881150</v>
      </c>
      <c r="L360" s="4">
        <v>868750</v>
      </c>
      <c r="M360" s="4">
        <f>Tabla1[[#This Row],[BASE DEL DIA]]+Tabla1[[#This Row],[ENTREGAS]]+Tabla1[[#This Row],[TARJETAS]]+Tabla1[[#This Row],[NEQUI O QR]]+Tabla1[[#This Row],[VENTAS FE.CREDITO]]-Tabla1[[#This Row],[VENTAS NETAS]]-Tabla1[[#This Row],[BASE ANTERIOR]]</f>
        <v>500</v>
      </c>
    </row>
    <row r="361" spans="1:13" ht="13.5" customHeight="1" x14ac:dyDescent="0.2">
      <c r="A361" s="1">
        <v>6331</v>
      </c>
      <c r="B361" s="2">
        <v>45695</v>
      </c>
      <c r="C361" s="3" t="s">
        <v>59</v>
      </c>
      <c r="D361" s="1" t="s">
        <v>17</v>
      </c>
      <c r="E361" s="1" t="s">
        <v>22</v>
      </c>
      <c r="F361" s="4">
        <v>2100800</v>
      </c>
      <c r="G361" s="4">
        <v>2057700</v>
      </c>
      <c r="H361" s="4">
        <v>46900</v>
      </c>
      <c r="I361" s="4">
        <v>34000</v>
      </c>
      <c r="K361" s="4">
        <v>868750</v>
      </c>
      <c r="L361" s="4">
        <v>906500</v>
      </c>
      <c r="M361" s="4">
        <f>Tabla1[[#This Row],[BASE DEL DIA]]+Tabla1[[#This Row],[ENTREGAS]]+Tabla1[[#This Row],[TARJETAS]]+Tabla1[[#This Row],[NEQUI O QR]]+Tabla1[[#This Row],[VENTAS FE.CREDITO]]-Tabla1[[#This Row],[VENTAS NETAS]]-Tabla1[[#This Row],[BASE ANTERIOR]]</f>
        <v>50</v>
      </c>
    </row>
    <row r="362" spans="1:13" ht="13.5" customHeight="1" x14ac:dyDescent="0.2">
      <c r="A362" s="1">
        <v>6330</v>
      </c>
      <c r="B362" s="2">
        <v>45694</v>
      </c>
      <c r="C362" s="3" t="s">
        <v>110</v>
      </c>
      <c r="D362" s="1" t="s">
        <v>17</v>
      </c>
      <c r="E362" s="1" t="s">
        <v>23</v>
      </c>
      <c r="F362" s="4">
        <v>3755400</v>
      </c>
      <c r="G362" s="4">
        <v>3415000</v>
      </c>
      <c r="H362" s="4">
        <v>313500</v>
      </c>
      <c r="I362" s="4">
        <v>13100</v>
      </c>
      <c r="J362" s="4">
        <v>0</v>
      </c>
      <c r="K362" s="4">
        <v>906500</v>
      </c>
      <c r="L362" s="4">
        <v>890200</v>
      </c>
      <c r="M362" s="4">
        <f>Tabla1[[#This Row],[BASE DEL DIA]]+Tabla1[[#This Row],[ENTREGAS]]+Tabla1[[#This Row],[TARJETAS]]+Tabla1[[#This Row],[NEQUI O QR]]+Tabla1[[#This Row],[VENTAS FE.CREDITO]]-Tabla1[[#This Row],[VENTAS NETAS]]-Tabla1[[#This Row],[BASE ANTERIOR]]</f>
        <v>2500</v>
      </c>
    </row>
    <row r="363" spans="1:13" ht="13.5" customHeight="1" x14ac:dyDescent="0.2">
      <c r="A363" s="1">
        <v>6329</v>
      </c>
      <c r="B363" s="2">
        <v>45694</v>
      </c>
      <c r="C363" s="3" t="s">
        <v>142</v>
      </c>
      <c r="D363" s="1" t="s">
        <v>19</v>
      </c>
      <c r="E363" s="1" t="s">
        <v>22</v>
      </c>
      <c r="F363" s="4">
        <v>2029800</v>
      </c>
      <c r="G363" s="4">
        <v>1879000</v>
      </c>
      <c r="H363" s="4">
        <v>115400</v>
      </c>
      <c r="I363" s="4">
        <v>58400</v>
      </c>
      <c r="J363" s="4">
        <v>0</v>
      </c>
      <c r="K363" s="4">
        <v>890200</v>
      </c>
      <c r="L363" s="4">
        <v>916350</v>
      </c>
      <c r="M363" s="4">
        <f>Tabla1[[#This Row],[BASE DEL DIA]]+Tabla1[[#This Row],[ENTREGAS]]+Tabla1[[#This Row],[TARJETAS]]+Tabla1[[#This Row],[NEQUI O QR]]+Tabla1[[#This Row],[VENTAS FE.CREDITO]]-Tabla1[[#This Row],[VENTAS NETAS]]-Tabla1[[#This Row],[BASE ANTERIOR]]</f>
        <v>-3150</v>
      </c>
    </row>
    <row r="364" spans="1:13" ht="13.5" customHeight="1" x14ac:dyDescent="0.2">
      <c r="A364" s="1">
        <v>6328</v>
      </c>
      <c r="B364" s="2">
        <v>45693</v>
      </c>
      <c r="C364" s="3" t="s">
        <v>54</v>
      </c>
      <c r="D364" s="1" t="s">
        <v>173</v>
      </c>
      <c r="E364" s="1" t="s">
        <v>23</v>
      </c>
      <c r="F364" s="4">
        <v>4864000</v>
      </c>
      <c r="G364" s="4">
        <v>4451000</v>
      </c>
      <c r="H364" s="4">
        <v>353300</v>
      </c>
      <c r="I364" s="4">
        <v>53300</v>
      </c>
      <c r="J364" s="4">
        <v>45100</v>
      </c>
      <c r="K364" s="4">
        <v>916350</v>
      </c>
      <c r="L364" s="4">
        <v>955750</v>
      </c>
      <c r="M364" s="4">
        <f>Tabla1[[#This Row],[BASE DEL DIA]]+Tabla1[[#This Row],[ENTREGAS]]+Tabla1[[#This Row],[TARJETAS]]+Tabla1[[#This Row],[NEQUI O QR]]+Tabla1[[#This Row],[VENTAS FE.CREDITO]]-Tabla1[[#This Row],[VENTAS NETAS]]-Tabla1[[#This Row],[BASE ANTERIOR]]</f>
        <v>-700</v>
      </c>
    </row>
    <row r="365" spans="1:13" ht="13.5" customHeight="1" x14ac:dyDescent="0.2">
      <c r="A365" s="1">
        <v>6327</v>
      </c>
      <c r="B365" s="2">
        <v>45693</v>
      </c>
      <c r="C365" s="3" t="s">
        <v>74</v>
      </c>
      <c r="D365" s="1" t="s">
        <v>17</v>
      </c>
      <c r="E365" s="1" t="s">
        <v>22</v>
      </c>
      <c r="F365" s="4">
        <v>2815000</v>
      </c>
      <c r="G365" s="4">
        <v>2560000</v>
      </c>
      <c r="H365" s="4">
        <v>76400</v>
      </c>
      <c r="I365" s="4">
        <v>143600</v>
      </c>
      <c r="K365" s="4">
        <v>955750</v>
      </c>
      <c r="L365" s="4">
        <v>915050</v>
      </c>
      <c r="M365" s="4">
        <f>Tabla1[[#This Row],[BASE DEL DIA]]+Tabla1[[#This Row],[ENTREGAS]]+Tabla1[[#This Row],[TARJETAS]]+Tabla1[[#This Row],[NEQUI O QR]]+Tabla1[[#This Row],[VENTAS FE.CREDITO]]-Tabla1[[#This Row],[VENTAS NETAS]]-Tabla1[[#This Row],[BASE ANTERIOR]]</f>
        <v>5700</v>
      </c>
    </row>
    <row r="366" spans="1:13" ht="13.5" customHeight="1" x14ac:dyDescent="0.2">
      <c r="A366" s="1">
        <v>6326</v>
      </c>
      <c r="B366" s="2">
        <v>45692</v>
      </c>
      <c r="C366" s="3" t="s">
        <v>73</v>
      </c>
      <c r="D366" s="1" t="s">
        <v>17</v>
      </c>
      <c r="E366" s="1" t="s">
        <v>23</v>
      </c>
      <c r="F366" s="4">
        <v>4556500</v>
      </c>
      <c r="G366" s="4">
        <v>4220000</v>
      </c>
      <c r="H366" s="4">
        <v>135600</v>
      </c>
      <c r="I366" s="4">
        <v>178800</v>
      </c>
      <c r="J366" s="4">
        <v>0</v>
      </c>
      <c r="K366" s="4">
        <v>915050</v>
      </c>
      <c r="L366" s="4">
        <v>918550</v>
      </c>
      <c r="M366" s="4">
        <f>Tabla1[[#This Row],[BASE DEL DIA]]+Tabla1[[#This Row],[ENTREGAS]]+Tabla1[[#This Row],[TARJETAS]]+Tabla1[[#This Row],[NEQUI O QR]]+Tabla1[[#This Row],[VENTAS FE.CREDITO]]-Tabla1[[#This Row],[VENTAS NETAS]]-Tabla1[[#This Row],[BASE ANTERIOR]]</f>
        <v>-25600</v>
      </c>
    </row>
    <row r="367" spans="1:13" ht="13.5" customHeight="1" x14ac:dyDescent="0.2">
      <c r="A367" s="1">
        <v>6325</v>
      </c>
      <c r="B367" s="2">
        <v>45692</v>
      </c>
      <c r="C367" s="3" t="s">
        <v>59</v>
      </c>
      <c r="D367" s="1" t="s">
        <v>170</v>
      </c>
      <c r="E367" s="1" t="s">
        <v>22</v>
      </c>
      <c r="F367" s="4">
        <v>2524100</v>
      </c>
      <c r="G367" s="4">
        <v>2473800</v>
      </c>
      <c r="H367" s="4">
        <v>65100</v>
      </c>
      <c r="I367" s="4">
        <v>0</v>
      </c>
      <c r="J367" s="4">
        <v>0</v>
      </c>
      <c r="K367" s="4">
        <v>918550</v>
      </c>
      <c r="L367" s="4">
        <v>933700</v>
      </c>
      <c r="M367" s="4">
        <f>Tabla1[[#This Row],[BASE DEL DIA]]+Tabla1[[#This Row],[ENTREGAS]]+Tabla1[[#This Row],[TARJETAS]]+Tabla1[[#This Row],[NEQUI O QR]]+Tabla1[[#This Row],[VENTAS FE.CREDITO]]-Tabla1[[#This Row],[VENTAS NETAS]]-Tabla1[[#This Row],[BASE ANTERIOR]]</f>
        <v>-350</v>
      </c>
    </row>
    <row r="368" spans="1:13" ht="13.5" customHeight="1" x14ac:dyDescent="0.2">
      <c r="A368" s="1">
        <v>6324</v>
      </c>
      <c r="B368" s="2">
        <v>45691</v>
      </c>
      <c r="C368" s="3" t="s">
        <v>52</v>
      </c>
      <c r="D368" s="1" t="s">
        <v>170</v>
      </c>
      <c r="E368" s="1" t="s">
        <v>23</v>
      </c>
      <c r="F368" s="4">
        <v>4649200</v>
      </c>
      <c r="G368" s="4">
        <v>4110000</v>
      </c>
      <c r="H368" s="4">
        <v>389000</v>
      </c>
      <c r="I368" s="4">
        <v>96200</v>
      </c>
      <c r="J368" s="4">
        <v>23800</v>
      </c>
      <c r="K368" s="4">
        <v>933700</v>
      </c>
      <c r="L368" s="4">
        <v>906550</v>
      </c>
      <c r="M368" s="4">
        <f>Tabla1[[#This Row],[BASE DEL DIA]]+Tabla1[[#This Row],[ENTREGAS]]+Tabla1[[#This Row],[TARJETAS]]+Tabla1[[#This Row],[NEQUI O QR]]+Tabla1[[#This Row],[VENTAS FE.CREDITO]]-Tabla1[[#This Row],[VENTAS NETAS]]-Tabla1[[#This Row],[BASE ANTERIOR]]</f>
        <v>-3050</v>
      </c>
    </row>
    <row r="369" spans="1:13" ht="13.5" customHeight="1" x14ac:dyDescent="0.2">
      <c r="A369" s="1">
        <v>6323</v>
      </c>
      <c r="B369" s="2">
        <v>45691</v>
      </c>
      <c r="C369" s="3" t="s">
        <v>88</v>
      </c>
      <c r="D369" s="1" t="s">
        <v>19</v>
      </c>
      <c r="E369" s="1" t="s">
        <v>22</v>
      </c>
      <c r="F369" s="4">
        <v>3170100</v>
      </c>
      <c r="G369" s="4">
        <v>3023100</v>
      </c>
      <c r="H369" s="4">
        <v>122400</v>
      </c>
      <c r="K369" s="4">
        <v>906550</v>
      </c>
      <c r="L369" s="4">
        <v>881600</v>
      </c>
      <c r="M369" s="4">
        <f>Tabla1[[#This Row],[BASE DEL DIA]]+Tabla1[[#This Row],[ENTREGAS]]+Tabla1[[#This Row],[TARJETAS]]+Tabla1[[#This Row],[NEQUI O QR]]+Tabla1[[#This Row],[VENTAS FE.CREDITO]]-Tabla1[[#This Row],[VENTAS NETAS]]-Tabla1[[#This Row],[BASE ANTERIOR]]</f>
        <v>350</v>
      </c>
    </row>
    <row r="370" spans="1:13" ht="13.5" customHeight="1" x14ac:dyDescent="0.2">
      <c r="A370" s="1">
        <v>6322</v>
      </c>
      <c r="B370" s="2">
        <v>45690</v>
      </c>
      <c r="C370" s="3" t="s">
        <v>130</v>
      </c>
      <c r="D370" s="1" t="s">
        <v>18</v>
      </c>
      <c r="E370" s="1" t="s">
        <v>23</v>
      </c>
      <c r="F370" s="4">
        <v>6302800</v>
      </c>
      <c r="G370" s="4">
        <v>5330000</v>
      </c>
      <c r="H370" s="4">
        <v>826700</v>
      </c>
      <c r="I370" s="4">
        <v>127000</v>
      </c>
      <c r="J370" s="4">
        <v>6300</v>
      </c>
      <c r="K370" s="4">
        <v>881600</v>
      </c>
      <c r="L370" s="4">
        <v>868000</v>
      </c>
      <c r="M370" s="4">
        <f>Tabla1[[#This Row],[BASE DEL DIA]]+Tabla1[[#This Row],[ENTREGAS]]+Tabla1[[#This Row],[TARJETAS]]+Tabla1[[#This Row],[NEQUI O QR]]+Tabla1[[#This Row],[VENTAS FE.CREDITO]]-Tabla1[[#This Row],[VENTAS NETAS]]-Tabla1[[#This Row],[BASE ANTERIOR]]</f>
        <v>800</v>
      </c>
    </row>
    <row r="371" spans="1:13" ht="13.5" customHeight="1" x14ac:dyDescent="0.2">
      <c r="A371" s="1">
        <v>6321</v>
      </c>
      <c r="B371" s="2">
        <v>45690</v>
      </c>
      <c r="C371" s="3" t="s">
        <v>90</v>
      </c>
      <c r="D371" s="1" t="s">
        <v>16</v>
      </c>
      <c r="E371" s="1" t="s">
        <v>22</v>
      </c>
      <c r="F371" s="4">
        <v>5163800</v>
      </c>
      <c r="G371" s="4">
        <v>4812700</v>
      </c>
      <c r="H371" s="4">
        <v>237900</v>
      </c>
      <c r="I371" s="4">
        <v>154500</v>
      </c>
      <c r="J371" s="4">
        <v>41900</v>
      </c>
      <c r="K371" s="4">
        <v>868000</v>
      </c>
      <c r="L371" s="4">
        <v>950600</v>
      </c>
      <c r="M371" s="4">
        <f>Tabla1[[#This Row],[BASE DEL DIA]]+Tabla1[[#This Row],[ENTREGAS]]+Tabla1[[#This Row],[TARJETAS]]+Tabla1[[#This Row],[NEQUI O QR]]+Tabla1[[#This Row],[VENTAS FE.CREDITO]]-Tabla1[[#This Row],[VENTAS NETAS]]-Tabla1[[#This Row],[BASE ANTERIOR]]</f>
        <v>600</v>
      </c>
    </row>
    <row r="372" spans="1:13" ht="13.5" customHeight="1" x14ac:dyDescent="0.2">
      <c r="A372" s="1">
        <v>6320</v>
      </c>
      <c r="B372" s="2">
        <v>45689</v>
      </c>
      <c r="C372" s="3" t="s">
        <v>85</v>
      </c>
      <c r="D372" s="1" t="s">
        <v>16</v>
      </c>
      <c r="E372" s="1" t="s">
        <v>23</v>
      </c>
      <c r="F372" s="4">
        <v>6291550</v>
      </c>
      <c r="G372" s="4">
        <v>5630000</v>
      </c>
      <c r="H372" s="4">
        <v>422800</v>
      </c>
      <c r="I372" s="4">
        <v>205200</v>
      </c>
      <c r="J372" s="4">
        <v>13500</v>
      </c>
      <c r="K372" s="4">
        <v>950600</v>
      </c>
      <c r="L372" s="4">
        <v>930450</v>
      </c>
      <c r="M372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373" spans="1:13" ht="13.5" customHeight="1" x14ac:dyDescent="0.2">
      <c r="A373" s="1">
        <v>6319</v>
      </c>
      <c r="B373" s="2">
        <v>45689</v>
      </c>
      <c r="C373" s="3" t="s">
        <v>112</v>
      </c>
      <c r="D373" s="1" t="s">
        <v>16</v>
      </c>
      <c r="E373" s="1" t="s">
        <v>22</v>
      </c>
      <c r="F373" s="4">
        <v>4161650</v>
      </c>
      <c r="G373" s="4">
        <v>4050000</v>
      </c>
      <c r="H373" s="4">
        <v>125300</v>
      </c>
      <c r="I373" s="4">
        <v>62900</v>
      </c>
      <c r="J373" s="4">
        <v>0</v>
      </c>
      <c r="K373" s="4">
        <v>930450</v>
      </c>
      <c r="L373" s="4">
        <v>1004000</v>
      </c>
      <c r="M373" s="4">
        <f>Tabla1[[#This Row],[BASE DEL DIA]]+Tabla1[[#This Row],[ENTREGAS]]+Tabla1[[#This Row],[TARJETAS]]+Tabla1[[#This Row],[NEQUI O QR]]+Tabla1[[#This Row],[VENTAS FE.CREDITO]]-Tabla1[[#This Row],[VENTAS NETAS]]-Tabla1[[#This Row],[BASE ANTERIOR]]</f>
        <v>3000</v>
      </c>
    </row>
    <row r="374" spans="1:13" ht="13.5" customHeight="1" x14ac:dyDescent="0.2">
      <c r="A374" s="1">
        <v>6318</v>
      </c>
      <c r="B374" s="2">
        <v>45688</v>
      </c>
      <c r="C374" s="3" t="s">
        <v>45</v>
      </c>
      <c r="D374" s="1" t="s">
        <v>18</v>
      </c>
      <c r="E374" s="1" t="s">
        <v>23</v>
      </c>
      <c r="F374" s="4">
        <v>5253300</v>
      </c>
      <c r="G374" s="4">
        <v>4010500</v>
      </c>
      <c r="H374" s="4">
        <v>771200</v>
      </c>
      <c r="I374" s="4">
        <v>447900</v>
      </c>
      <c r="J374" s="4">
        <v>6300</v>
      </c>
      <c r="K374" s="4">
        <v>1004000</v>
      </c>
      <c r="L374" s="4">
        <v>986600</v>
      </c>
      <c r="M374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375" spans="1:13" ht="13.5" customHeight="1" x14ac:dyDescent="0.2">
      <c r="A375" s="1">
        <v>6317</v>
      </c>
      <c r="B375" s="2">
        <v>45688</v>
      </c>
      <c r="C375" s="3" t="s">
        <v>152</v>
      </c>
      <c r="D375" s="1" t="s">
        <v>16</v>
      </c>
      <c r="E375" s="1" t="s">
        <v>22</v>
      </c>
      <c r="F375" s="4">
        <v>3008700</v>
      </c>
      <c r="G375" s="4">
        <v>2515700</v>
      </c>
      <c r="H375" s="4">
        <v>352900</v>
      </c>
      <c r="I375" s="4">
        <v>8000</v>
      </c>
      <c r="J375" s="4">
        <v>26000</v>
      </c>
      <c r="K375" s="4">
        <v>986600</v>
      </c>
      <c r="L375" s="4">
        <v>879200</v>
      </c>
      <c r="M375" s="4">
        <f>Tabla1[[#This Row],[BASE DEL DIA]]+Tabla1[[#This Row],[ENTREGAS]]+Tabla1[[#This Row],[TARJETAS]]+Tabla1[[#This Row],[NEQUI O QR]]+Tabla1[[#This Row],[VENTAS FE.CREDITO]]-Tabla1[[#This Row],[VENTAS NETAS]]-Tabla1[[#This Row],[BASE ANTERIOR]]</f>
        <v>1300</v>
      </c>
    </row>
    <row r="376" spans="1:13" ht="13.5" customHeight="1" x14ac:dyDescent="0.2">
      <c r="A376" s="1">
        <v>6316</v>
      </c>
      <c r="B376" s="2">
        <v>45687</v>
      </c>
      <c r="C376" s="3" t="s">
        <v>106</v>
      </c>
      <c r="D376" s="1" t="s">
        <v>16</v>
      </c>
      <c r="E376" s="1" t="s">
        <v>23</v>
      </c>
      <c r="F376" s="4">
        <v>5035300</v>
      </c>
      <c r="G376" s="4">
        <v>3690000</v>
      </c>
      <c r="H376" s="4">
        <v>1432200</v>
      </c>
      <c r="I376" s="4">
        <v>8600</v>
      </c>
      <c r="J376" s="4">
        <v>15100</v>
      </c>
      <c r="K376" s="4">
        <v>879200</v>
      </c>
      <c r="L376" s="4">
        <v>985050</v>
      </c>
      <c r="M376" s="4">
        <f>Tabla1[[#This Row],[BASE DEL DIA]]+Tabla1[[#This Row],[ENTREGAS]]+Tabla1[[#This Row],[TARJETAS]]+Tabla1[[#This Row],[NEQUI O QR]]+Tabla1[[#This Row],[VENTAS FE.CREDITO]]-Tabla1[[#This Row],[VENTAS NETAS]]-Tabla1[[#This Row],[BASE ANTERIOR]]</f>
        <v>4750</v>
      </c>
    </row>
    <row r="377" spans="1:13" ht="13.5" customHeight="1" x14ac:dyDescent="0.2">
      <c r="A377" s="1">
        <v>6315</v>
      </c>
      <c r="B377" s="2">
        <v>45687</v>
      </c>
      <c r="C377" s="3" t="s">
        <v>59</v>
      </c>
      <c r="D377" s="1" t="s">
        <v>18</v>
      </c>
      <c r="E377" s="1" t="s">
        <v>23</v>
      </c>
      <c r="F377" s="4">
        <v>2339600</v>
      </c>
      <c r="G377" s="4">
        <v>2071700</v>
      </c>
      <c r="H377" s="4">
        <v>164900</v>
      </c>
      <c r="I377" s="4">
        <v>15200</v>
      </c>
      <c r="K377" s="4">
        <v>985050</v>
      </c>
      <c r="L377" s="4">
        <v>895550</v>
      </c>
      <c r="M377" s="4">
        <f>Tabla1[[#This Row],[BASE DEL DIA]]+Tabla1[[#This Row],[ENTREGAS]]+Tabla1[[#This Row],[TARJETAS]]+Tabla1[[#This Row],[NEQUI O QR]]+Tabla1[[#This Row],[VENTAS FE.CREDITO]]-Tabla1[[#This Row],[VENTAS NETAS]]-Tabla1[[#This Row],[BASE ANTERIOR]]</f>
        <v>1700</v>
      </c>
    </row>
    <row r="378" spans="1:13" ht="13.5" customHeight="1" x14ac:dyDescent="0.2">
      <c r="A378" s="1">
        <v>6314</v>
      </c>
      <c r="B378" s="2">
        <v>45686</v>
      </c>
      <c r="C378" s="3" t="s">
        <v>40</v>
      </c>
      <c r="D378" s="1" t="s">
        <v>18</v>
      </c>
      <c r="E378" s="1" t="s">
        <v>23</v>
      </c>
      <c r="F378" s="4">
        <v>3660250</v>
      </c>
      <c r="G378" s="4">
        <v>2800000</v>
      </c>
      <c r="H378" s="4">
        <v>689900</v>
      </c>
      <c r="I378" s="4">
        <v>148500</v>
      </c>
      <c r="J378" s="4">
        <v>13300</v>
      </c>
      <c r="K378" s="4">
        <v>895550</v>
      </c>
      <c r="L378" s="4">
        <v>888950</v>
      </c>
      <c r="M378" s="4">
        <f>Tabla1[[#This Row],[BASE DEL DIA]]+Tabla1[[#This Row],[ENTREGAS]]+Tabla1[[#This Row],[TARJETAS]]+Tabla1[[#This Row],[NEQUI O QR]]+Tabla1[[#This Row],[VENTAS FE.CREDITO]]-Tabla1[[#This Row],[VENTAS NETAS]]-Tabla1[[#This Row],[BASE ANTERIOR]]</f>
        <v>-1950</v>
      </c>
    </row>
    <row r="379" spans="1:13" ht="13.5" customHeight="1" x14ac:dyDescent="0.2">
      <c r="A379" s="1">
        <v>6313</v>
      </c>
      <c r="B379" s="2">
        <v>45686</v>
      </c>
      <c r="C379" s="3" t="s">
        <v>91</v>
      </c>
      <c r="D379" s="1" t="s">
        <v>16</v>
      </c>
      <c r="E379" s="1" t="s">
        <v>22</v>
      </c>
      <c r="F379" s="4">
        <v>1982200</v>
      </c>
      <c r="G379" s="4">
        <v>1699000</v>
      </c>
      <c r="H379" s="4">
        <v>177200</v>
      </c>
      <c r="I379" s="4">
        <v>70900</v>
      </c>
      <c r="K379" s="4">
        <v>888950</v>
      </c>
      <c r="L379" s="4">
        <v>854400</v>
      </c>
      <c r="M379" s="4">
        <f>Tabla1[[#This Row],[BASE DEL DIA]]+Tabla1[[#This Row],[ENTREGAS]]+Tabla1[[#This Row],[TARJETAS]]+Tabla1[[#This Row],[NEQUI O QR]]+Tabla1[[#This Row],[VENTAS FE.CREDITO]]-Tabla1[[#This Row],[VENTAS NETAS]]-Tabla1[[#This Row],[BASE ANTERIOR]]</f>
        <v>-550</v>
      </c>
    </row>
    <row r="380" spans="1:13" ht="13.5" customHeight="1" x14ac:dyDescent="0.2">
      <c r="A380" s="1">
        <v>6311</v>
      </c>
      <c r="B380" s="2">
        <v>45685</v>
      </c>
      <c r="C380" s="3" t="s">
        <v>107</v>
      </c>
      <c r="D380" s="1" t="s">
        <v>16</v>
      </c>
      <c r="E380" s="1" t="s">
        <v>23</v>
      </c>
      <c r="F380" s="4">
        <v>3511200</v>
      </c>
      <c r="G380" s="4">
        <v>3363000</v>
      </c>
      <c r="H380" s="4">
        <v>136600</v>
      </c>
      <c r="I380" s="4">
        <v>30600</v>
      </c>
      <c r="J380" s="4">
        <v>5000</v>
      </c>
      <c r="K380" s="4">
        <v>854400</v>
      </c>
      <c r="L380" s="4">
        <v>873800</v>
      </c>
      <c r="M380" s="4">
        <f>Tabla1[[#This Row],[BASE DEL DIA]]+Tabla1[[#This Row],[ENTREGAS]]+Tabla1[[#This Row],[TARJETAS]]+Tabla1[[#This Row],[NEQUI O QR]]+Tabla1[[#This Row],[VENTAS FE.CREDITO]]-Tabla1[[#This Row],[VENTAS NETAS]]-Tabla1[[#This Row],[BASE ANTERIOR]]</f>
        <v>4600</v>
      </c>
    </row>
    <row r="381" spans="1:13" ht="13.5" customHeight="1" x14ac:dyDescent="0.2">
      <c r="A381" s="1">
        <v>6310</v>
      </c>
      <c r="B381" s="2">
        <v>45685</v>
      </c>
      <c r="C381" s="3" t="s">
        <v>121</v>
      </c>
      <c r="D381" s="1" t="s">
        <v>172</v>
      </c>
      <c r="E381" s="1" t="s">
        <v>22</v>
      </c>
      <c r="F381" s="4">
        <v>2229200</v>
      </c>
      <c r="G381" s="4">
        <v>1870000</v>
      </c>
      <c r="H381" s="4">
        <v>158200</v>
      </c>
      <c r="I381" s="4">
        <v>226200</v>
      </c>
      <c r="J381" s="4">
        <v>5800</v>
      </c>
      <c r="K381" s="4">
        <v>873800</v>
      </c>
      <c r="L381" s="4">
        <v>905400</v>
      </c>
      <c r="M381" s="4">
        <f>Tabla1[[#This Row],[BASE DEL DIA]]+Tabla1[[#This Row],[ENTREGAS]]+Tabla1[[#This Row],[TARJETAS]]+Tabla1[[#This Row],[NEQUI O QR]]+Tabla1[[#This Row],[VENTAS FE.CREDITO]]-Tabla1[[#This Row],[VENTAS NETAS]]-Tabla1[[#This Row],[BASE ANTERIOR]]</f>
        <v>-600</v>
      </c>
    </row>
    <row r="382" spans="1:13" ht="13.5" customHeight="1" x14ac:dyDescent="0.2">
      <c r="A382" s="1">
        <v>6309</v>
      </c>
      <c r="B382" s="2">
        <v>45684</v>
      </c>
      <c r="C382" s="3" t="s">
        <v>106</v>
      </c>
      <c r="D382" s="1" t="s">
        <v>18</v>
      </c>
      <c r="E382" s="1" t="s">
        <v>23</v>
      </c>
      <c r="F382" s="4">
        <v>4004800</v>
      </c>
      <c r="G382" s="4">
        <v>3488700</v>
      </c>
      <c r="H382" s="4">
        <v>512100</v>
      </c>
      <c r="I382" s="4">
        <v>103700</v>
      </c>
      <c r="J382" s="4">
        <v>27500</v>
      </c>
      <c r="K382" s="4">
        <v>905400</v>
      </c>
      <c r="L382" s="4">
        <v>1029300</v>
      </c>
      <c r="M382" s="4">
        <f>Tabla1[[#This Row],[BASE DEL DIA]]+Tabla1[[#This Row],[ENTREGAS]]+Tabla1[[#This Row],[TARJETAS]]+Tabla1[[#This Row],[NEQUI O QR]]+Tabla1[[#This Row],[VENTAS FE.CREDITO]]-Tabla1[[#This Row],[VENTAS NETAS]]-Tabla1[[#This Row],[BASE ANTERIOR]]</f>
        <v>3300</v>
      </c>
    </row>
    <row r="383" spans="1:13" ht="13.5" customHeight="1" x14ac:dyDescent="0.2">
      <c r="A383" s="1">
        <v>6308</v>
      </c>
      <c r="B383" s="2">
        <v>45684</v>
      </c>
      <c r="C383" s="3" t="s">
        <v>80</v>
      </c>
      <c r="D383" s="1" t="s">
        <v>16</v>
      </c>
      <c r="E383" s="1" t="s">
        <v>22</v>
      </c>
      <c r="F383" s="4">
        <v>2776500</v>
      </c>
      <c r="G383" s="4">
        <v>2614000</v>
      </c>
      <c r="H383" s="4">
        <v>107900</v>
      </c>
      <c r="I383" s="4">
        <v>65200</v>
      </c>
      <c r="K383" s="4">
        <v>1029300</v>
      </c>
      <c r="L383" s="4">
        <v>1045300</v>
      </c>
      <c r="M383" s="4">
        <f>Tabla1[[#This Row],[BASE DEL DIA]]+Tabla1[[#This Row],[ENTREGAS]]+Tabla1[[#This Row],[TARJETAS]]+Tabla1[[#This Row],[NEQUI O QR]]+Tabla1[[#This Row],[VENTAS FE.CREDITO]]-Tabla1[[#This Row],[VENTAS NETAS]]-Tabla1[[#This Row],[BASE ANTERIOR]]</f>
        <v>-5400</v>
      </c>
    </row>
    <row r="384" spans="1:13" ht="13.5" customHeight="1" x14ac:dyDescent="0.2">
      <c r="A384" s="1">
        <v>6307</v>
      </c>
      <c r="B384" s="2">
        <v>45683</v>
      </c>
      <c r="C384" s="3" t="s">
        <v>96</v>
      </c>
      <c r="D384" s="1" t="s">
        <v>170</v>
      </c>
      <c r="E384" s="1" t="s">
        <v>23</v>
      </c>
      <c r="F384" s="4">
        <v>4297900</v>
      </c>
      <c r="G384" s="4">
        <v>3747600</v>
      </c>
      <c r="H384" s="4">
        <v>254500</v>
      </c>
      <c r="I384" s="4">
        <v>211700</v>
      </c>
      <c r="K384" s="4">
        <v>1045300</v>
      </c>
      <c r="L384" s="4">
        <v>959800</v>
      </c>
      <c r="M384" s="4">
        <f>Tabla1[[#This Row],[BASE DEL DIA]]+Tabla1[[#This Row],[ENTREGAS]]+Tabla1[[#This Row],[TARJETAS]]+Tabla1[[#This Row],[NEQUI O QR]]+Tabla1[[#This Row],[VENTAS FE.CREDITO]]-Tabla1[[#This Row],[VENTAS NETAS]]-Tabla1[[#This Row],[BASE ANTERIOR]]</f>
        <v>1400</v>
      </c>
    </row>
    <row r="385" spans="1:13" ht="13.5" customHeight="1" x14ac:dyDescent="0.2">
      <c r="A385" s="1">
        <v>6303</v>
      </c>
      <c r="B385" s="2">
        <v>45683</v>
      </c>
      <c r="C385" s="3" t="s">
        <v>171</v>
      </c>
      <c r="D385" s="1" t="s">
        <v>133</v>
      </c>
      <c r="E385" s="1" t="s">
        <v>22</v>
      </c>
      <c r="F385" s="4">
        <v>3071300</v>
      </c>
      <c r="G385" s="4">
        <v>2990000</v>
      </c>
      <c r="H385" s="4">
        <v>83900</v>
      </c>
      <c r="I385" s="4">
        <v>23100</v>
      </c>
      <c r="J385" s="4">
        <v>4000</v>
      </c>
      <c r="K385" s="4">
        <v>959800</v>
      </c>
      <c r="L385" s="4">
        <v>987300</v>
      </c>
      <c r="M385" s="4">
        <f>Tabla1[[#This Row],[BASE DEL DIA]]+Tabla1[[#This Row],[ENTREGAS]]+Tabla1[[#This Row],[TARJETAS]]+Tabla1[[#This Row],[NEQUI O QR]]+Tabla1[[#This Row],[VENTAS FE.CREDITO]]-Tabla1[[#This Row],[VENTAS NETAS]]-Tabla1[[#This Row],[BASE ANTERIOR]]</f>
        <v>2200</v>
      </c>
    </row>
    <row r="386" spans="1:13" ht="13.5" customHeight="1" x14ac:dyDescent="0.2">
      <c r="A386" s="1">
        <v>6305</v>
      </c>
      <c r="B386" s="2">
        <v>45682</v>
      </c>
      <c r="C386" s="3" t="s">
        <v>63</v>
      </c>
      <c r="D386" s="1" t="s">
        <v>17</v>
      </c>
      <c r="E386" s="1" t="s">
        <v>23</v>
      </c>
      <c r="F386" s="4">
        <v>3858225</v>
      </c>
      <c r="G386" s="4">
        <v>3620000</v>
      </c>
      <c r="H386" s="4">
        <v>230100</v>
      </c>
      <c r="I386" s="4">
        <v>11100</v>
      </c>
      <c r="K386" s="4">
        <v>987300</v>
      </c>
      <c r="L386" s="4">
        <v>985850</v>
      </c>
      <c r="M386" s="4">
        <f>Tabla1[[#This Row],[BASE DEL DIA]]+Tabla1[[#This Row],[ENTREGAS]]+Tabla1[[#This Row],[TARJETAS]]+Tabla1[[#This Row],[NEQUI O QR]]+Tabla1[[#This Row],[VENTAS FE.CREDITO]]-Tabla1[[#This Row],[VENTAS NETAS]]-Tabla1[[#This Row],[BASE ANTERIOR]]</f>
        <v>4425</v>
      </c>
    </row>
    <row r="387" spans="1:13" ht="13.5" customHeight="1" x14ac:dyDescent="0.2">
      <c r="A387" s="1">
        <v>6304</v>
      </c>
      <c r="B387" s="2">
        <v>45682</v>
      </c>
      <c r="C387" s="3" t="s">
        <v>157</v>
      </c>
      <c r="D387" s="1" t="s">
        <v>170</v>
      </c>
      <c r="E387" s="1" t="s">
        <v>22</v>
      </c>
      <c r="F387" s="4">
        <v>3059200</v>
      </c>
      <c r="G387" s="4">
        <v>2795300</v>
      </c>
      <c r="H387" s="4">
        <v>104300</v>
      </c>
      <c r="I387" s="4">
        <v>59200</v>
      </c>
      <c r="K387" s="4">
        <v>985850</v>
      </c>
      <c r="L387" s="4">
        <v>887100</v>
      </c>
      <c r="M387" s="4">
        <f>Tabla1[[#This Row],[BASE DEL DIA]]+Tabla1[[#This Row],[ENTREGAS]]+Tabla1[[#This Row],[TARJETAS]]+Tabla1[[#This Row],[NEQUI O QR]]+Tabla1[[#This Row],[VENTAS FE.CREDITO]]-Tabla1[[#This Row],[VENTAS NETAS]]-Tabla1[[#This Row],[BASE ANTERIOR]]</f>
        <v>-1650</v>
      </c>
    </row>
    <row r="388" spans="1:13" ht="13.5" customHeight="1" x14ac:dyDescent="0.2">
      <c r="A388" s="1">
        <v>6303</v>
      </c>
      <c r="B388" s="2">
        <v>45681</v>
      </c>
      <c r="C388" s="3" t="s">
        <v>40</v>
      </c>
      <c r="D388" s="1" t="s">
        <v>170</v>
      </c>
      <c r="E388" s="1" t="s">
        <v>23</v>
      </c>
      <c r="F388" s="4">
        <v>2976900</v>
      </c>
      <c r="G388" s="4">
        <v>2900000</v>
      </c>
      <c r="H388" s="4">
        <v>130200</v>
      </c>
      <c r="I388" s="4">
        <v>2900</v>
      </c>
      <c r="K388" s="4">
        <v>887100</v>
      </c>
      <c r="L388" s="4">
        <v>941150</v>
      </c>
      <c r="M388" s="4">
        <f>Tabla1[[#This Row],[BASE DEL DIA]]+Tabla1[[#This Row],[ENTREGAS]]+Tabla1[[#This Row],[TARJETAS]]+Tabla1[[#This Row],[NEQUI O QR]]+Tabla1[[#This Row],[VENTAS FE.CREDITO]]-Tabla1[[#This Row],[VENTAS NETAS]]-Tabla1[[#This Row],[BASE ANTERIOR]]</f>
        <v>2150</v>
      </c>
    </row>
    <row r="389" spans="1:13" ht="13.5" customHeight="1" x14ac:dyDescent="0.2">
      <c r="A389" s="1">
        <v>6302</v>
      </c>
      <c r="B389" s="2">
        <v>45681</v>
      </c>
      <c r="C389" s="3" t="s">
        <v>155</v>
      </c>
      <c r="D389" s="1" t="s">
        <v>17</v>
      </c>
      <c r="E389" s="1" t="s">
        <v>22</v>
      </c>
      <c r="F389" s="4">
        <v>2718350</v>
      </c>
      <c r="G389" s="4">
        <v>2480000</v>
      </c>
      <c r="H389" s="4">
        <v>141300</v>
      </c>
      <c r="I389" s="4">
        <v>60700</v>
      </c>
      <c r="K389" s="4">
        <v>941150</v>
      </c>
      <c r="L389" s="4">
        <v>915750</v>
      </c>
      <c r="M389" s="4">
        <f>Tabla1[[#This Row],[BASE DEL DIA]]+Tabla1[[#This Row],[ENTREGAS]]+Tabla1[[#This Row],[TARJETAS]]+Tabla1[[#This Row],[NEQUI O QR]]+Tabla1[[#This Row],[VENTAS FE.CREDITO]]-Tabla1[[#This Row],[VENTAS NETAS]]-Tabla1[[#This Row],[BASE ANTERIOR]]</f>
        <v>-10950</v>
      </c>
    </row>
    <row r="390" spans="1:13" ht="13.5" customHeight="1" x14ac:dyDescent="0.2">
      <c r="A390" s="1">
        <v>6301</v>
      </c>
      <c r="B390" s="2">
        <v>45680</v>
      </c>
      <c r="C390" s="3" t="s">
        <v>105</v>
      </c>
      <c r="D390" s="1" t="s">
        <v>17</v>
      </c>
      <c r="E390" s="1" t="s">
        <v>23</v>
      </c>
      <c r="F390" s="4">
        <v>2718350</v>
      </c>
      <c r="G390" s="4">
        <v>2480000</v>
      </c>
      <c r="H390" s="4">
        <v>141300</v>
      </c>
      <c r="I390" s="4">
        <v>60700</v>
      </c>
      <c r="J390" s="4">
        <v>0</v>
      </c>
      <c r="K390" s="4">
        <v>915750</v>
      </c>
      <c r="L390" s="4">
        <v>877200</v>
      </c>
      <c r="M390" s="4">
        <f>Tabla1[[#This Row],[BASE DEL DIA]]+Tabla1[[#This Row],[ENTREGAS]]+Tabla1[[#This Row],[TARJETAS]]+Tabla1[[#This Row],[NEQUI O QR]]+Tabla1[[#This Row],[VENTAS FE.CREDITO]]-Tabla1[[#This Row],[VENTAS NETAS]]-Tabla1[[#This Row],[BASE ANTERIOR]]</f>
        <v>2200</v>
      </c>
    </row>
    <row r="391" spans="1:13" ht="13.5" customHeight="1" x14ac:dyDescent="0.2">
      <c r="A391" s="1">
        <v>6300</v>
      </c>
      <c r="B391" s="2">
        <v>45680</v>
      </c>
      <c r="C391" s="3" t="s">
        <v>67</v>
      </c>
      <c r="D391" s="1" t="s">
        <v>170</v>
      </c>
      <c r="E391" s="1" t="s">
        <v>22</v>
      </c>
      <c r="F391" s="4">
        <v>2901500</v>
      </c>
      <c r="G391" s="4">
        <v>2630000</v>
      </c>
      <c r="H391" s="4">
        <v>335400</v>
      </c>
      <c r="K391" s="4">
        <v>877200</v>
      </c>
      <c r="L391" s="4">
        <v>941200</v>
      </c>
      <c r="M391" s="4">
        <f>Tabla1[[#This Row],[BASE DEL DIA]]+Tabla1[[#This Row],[ENTREGAS]]+Tabla1[[#This Row],[TARJETAS]]+Tabla1[[#This Row],[NEQUI O QR]]+Tabla1[[#This Row],[VENTAS FE.CREDITO]]-Tabla1[[#This Row],[VENTAS NETAS]]-Tabla1[[#This Row],[BASE ANTERIOR]]</f>
        <v>-100</v>
      </c>
    </row>
    <row r="392" spans="1:13" ht="13.5" customHeight="1" x14ac:dyDescent="0.2">
      <c r="A392" s="1">
        <v>6299</v>
      </c>
      <c r="B392" s="2">
        <v>45679</v>
      </c>
      <c r="C392" s="3" t="s">
        <v>66</v>
      </c>
      <c r="D392" s="1" t="s">
        <v>17</v>
      </c>
      <c r="E392" s="1" t="s">
        <v>23</v>
      </c>
      <c r="F392" s="4">
        <v>3167600</v>
      </c>
      <c r="G392" s="4">
        <v>3090000</v>
      </c>
      <c r="H392" s="4">
        <v>52000</v>
      </c>
      <c r="I392" s="4">
        <v>72000</v>
      </c>
      <c r="J392" s="4">
        <v>0</v>
      </c>
      <c r="K392" s="4">
        <v>941200</v>
      </c>
      <c r="L392" s="4">
        <v>978950</v>
      </c>
      <c r="M392" s="4">
        <f>Tabla1[[#This Row],[BASE DEL DIA]]+Tabla1[[#This Row],[ENTREGAS]]+Tabla1[[#This Row],[TARJETAS]]+Tabla1[[#This Row],[NEQUI O QR]]+Tabla1[[#This Row],[VENTAS FE.CREDITO]]-Tabla1[[#This Row],[VENTAS NETAS]]-Tabla1[[#This Row],[BASE ANTERIOR]]</f>
        <v>8650</v>
      </c>
    </row>
    <row r="393" spans="1:13" ht="13.5" customHeight="1" x14ac:dyDescent="0.2">
      <c r="A393" s="1">
        <v>6298</v>
      </c>
      <c r="B393" s="2">
        <v>45679</v>
      </c>
      <c r="C393" s="3" t="s">
        <v>144</v>
      </c>
      <c r="D393" s="1" t="s">
        <v>19</v>
      </c>
      <c r="E393" s="1" t="s">
        <v>22</v>
      </c>
      <c r="F393" s="4">
        <v>1704800</v>
      </c>
      <c r="G393" s="4">
        <v>1473000</v>
      </c>
      <c r="H393" s="4">
        <v>72700</v>
      </c>
      <c r="I393" s="4">
        <v>6200</v>
      </c>
      <c r="J393" s="4">
        <v>0</v>
      </c>
      <c r="K393" s="4">
        <v>978950</v>
      </c>
      <c r="L393" s="4">
        <v>840200</v>
      </c>
      <c r="M393" s="4">
        <f>Tabla1[[#This Row],[BASE DEL DIA]]+Tabla1[[#This Row],[ENTREGAS]]+Tabla1[[#This Row],[TARJETAS]]+Tabla1[[#This Row],[NEQUI O QR]]+Tabla1[[#This Row],[VENTAS FE.CREDITO]]-Tabla1[[#This Row],[VENTAS NETAS]]-Tabla1[[#This Row],[BASE ANTERIOR]]</f>
        <v>-14150</v>
      </c>
    </row>
    <row r="394" spans="1:13" ht="13.5" customHeight="1" x14ac:dyDescent="0.2">
      <c r="A394" s="1">
        <v>6297</v>
      </c>
      <c r="B394" s="2">
        <v>45678</v>
      </c>
      <c r="C394" s="3" t="s">
        <v>85</v>
      </c>
      <c r="D394" s="1" t="s">
        <v>17</v>
      </c>
      <c r="E394" s="1" t="s">
        <v>23</v>
      </c>
      <c r="F394" s="4">
        <v>4135400</v>
      </c>
      <c r="G394" s="4">
        <v>3562700</v>
      </c>
      <c r="H394" s="4">
        <v>500800</v>
      </c>
      <c r="I394" s="4">
        <v>30300</v>
      </c>
      <c r="J394" s="4">
        <v>65200</v>
      </c>
      <c r="K394" s="4">
        <v>840200</v>
      </c>
      <c r="L394" s="4">
        <v>864450</v>
      </c>
      <c r="M394" s="4">
        <f>Tabla1[[#This Row],[BASE DEL DIA]]+Tabla1[[#This Row],[ENTREGAS]]+Tabla1[[#This Row],[TARJETAS]]+Tabla1[[#This Row],[NEQUI O QR]]+Tabla1[[#This Row],[VENTAS FE.CREDITO]]-Tabla1[[#This Row],[VENTAS NETAS]]-Tabla1[[#This Row],[BASE ANTERIOR]]</f>
        <v>-650</v>
      </c>
    </row>
    <row r="395" spans="1:13" ht="13.5" customHeight="1" x14ac:dyDescent="0.2">
      <c r="A395" s="1">
        <v>6296</v>
      </c>
      <c r="B395" s="2">
        <v>45678</v>
      </c>
      <c r="C395" s="3" t="s">
        <v>164</v>
      </c>
      <c r="D395" s="1" t="s">
        <v>19</v>
      </c>
      <c r="E395" s="1" t="s">
        <v>22</v>
      </c>
      <c r="F395" s="4">
        <v>2130400</v>
      </c>
      <c r="G395" s="4">
        <v>1809000</v>
      </c>
      <c r="H395" s="4">
        <v>114700</v>
      </c>
      <c r="I395" s="4">
        <v>190654</v>
      </c>
      <c r="J395" s="4">
        <v>0</v>
      </c>
      <c r="K395" s="4">
        <v>864450</v>
      </c>
      <c r="L395" s="4">
        <v>855550</v>
      </c>
      <c r="M395" s="4">
        <f>Tabla1[[#This Row],[BASE DEL DIA]]+Tabla1[[#This Row],[ENTREGAS]]+Tabla1[[#This Row],[TARJETAS]]+Tabla1[[#This Row],[NEQUI O QR]]+Tabla1[[#This Row],[VENTAS FE.CREDITO]]-Tabla1[[#This Row],[VENTAS NETAS]]-Tabla1[[#This Row],[BASE ANTERIOR]]</f>
        <v>-7146</v>
      </c>
    </row>
    <row r="396" spans="1:13" ht="13.5" customHeight="1" x14ac:dyDescent="0.2">
      <c r="A396" s="1">
        <v>6295</v>
      </c>
      <c r="B396" s="2">
        <v>45677</v>
      </c>
      <c r="C396" s="3" t="s">
        <v>54</v>
      </c>
      <c r="D396" s="1" t="s">
        <v>18</v>
      </c>
      <c r="E396" s="1" t="s">
        <v>23</v>
      </c>
      <c r="F396" s="4">
        <v>5565700</v>
      </c>
      <c r="G396" s="4">
        <v>5238250</v>
      </c>
      <c r="H396" s="4">
        <v>313600</v>
      </c>
      <c r="I396" s="4">
        <v>71000</v>
      </c>
      <c r="J396" s="4">
        <v>25000</v>
      </c>
      <c r="K396" s="4">
        <v>855550</v>
      </c>
      <c r="L396" s="4">
        <v>934350</v>
      </c>
      <c r="M396" s="4">
        <f>Tabla1[[#This Row],[BASE DEL DIA]]+Tabla1[[#This Row],[ENTREGAS]]+Tabla1[[#This Row],[TARJETAS]]+Tabla1[[#This Row],[NEQUI O QR]]+Tabla1[[#This Row],[VENTAS FE.CREDITO]]-Tabla1[[#This Row],[VENTAS NETAS]]-Tabla1[[#This Row],[BASE ANTERIOR]]</f>
        <v>3350</v>
      </c>
    </row>
    <row r="397" spans="1:13" ht="13.5" customHeight="1" x14ac:dyDescent="0.2">
      <c r="A397" s="1">
        <v>6294</v>
      </c>
      <c r="B397" s="2">
        <v>45676</v>
      </c>
      <c r="C397" s="3" t="s">
        <v>110</v>
      </c>
      <c r="D397" s="1" t="s">
        <v>18</v>
      </c>
      <c r="E397" s="1" t="s">
        <v>23</v>
      </c>
      <c r="F397" s="4">
        <v>4562700</v>
      </c>
      <c r="G397" s="4">
        <v>4080000</v>
      </c>
      <c r="H397" s="4">
        <v>355000</v>
      </c>
      <c r="I397" s="4">
        <v>44400</v>
      </c>
      <c r="J397" s="4">
        <v>20000</v>
      </c>
      <c r="K397" s="4">
        <v>934350</v>
      </c>
      <c r="L397" s="4">
        <v>879550</v>
      </c>
      <c r="M397" s="4">
        <f>Tabla1[[#This Row],[BASE DEL DIA]]+Tabla1[[#This Row],[ENTREGAS]]+Tabla1[[#This Row],[TARJETAS]]+Tabla1[[#This Row],[NEQUI O QR]]+Tabla1[[#This Row],[VENTAS FE.CREDITO]]-Tabla1[[#This Row],[VENTAS NETAS]]-Tabla1[[#This Row],[BASE ANTERIOR]]</f>
        <v>-8500</v>
      </c>
    </row>
    <row r="398" spans="1:13" ht="13.5" customHeight="1" x14ac:dyDescent="0.2">
      <c r="A398" s="1">
        <v>6293</v>
      </c>
      <c r="B398" s="2">
        <v>45676</v>
      </c>
      <c r="C398" s="3" t="s">
        <v>103</v>
      </c>
      <c r="D398" s="1" t="s">
        <v>16</v>
      </c>
      <c r="E398" s="1" t="s">
        <v>22</v>
      </c>
      <c r="F398" s="4">
        <v>4238000</v>
      </c>
      <c r="G398" s="4">
        <v>3835000</v>
      </c>
      <c r="H398" s="4">
        <v>296900</v>
      </c>
      <c r="I398" s="4">
        <v>42900</v>
      </c>
      <c r="J398" s="4">
        <v>40700</v>
      </c>
      <c r="K398" s="4">
        <v>879550</v>
      </c>
      <c r="L398" s="4">
        <v>859800</v>
      </c>
      <c r="M398" s="4">
        <f>Tabla1[[#This Row],[BASE DEL DIA]]+Tabla1[[#This Row],[ENTREGAS]]+Tabla1[[#This Row],[TARJETAS]]+Tabla1[[#This Row],[NEQUI O QR]]+Tabla1[[#This Row],[VENTAS FE.CREDITO]]-Tabla1[[#This Row],[VENTAS NETAS]]-Tabla1[[#This Row],[BASE ANTERIOR]]</f>
        <v>-2750</v>
      </c>
    </row>
    <row r="399" spans="1:13" ht="13.5" customHeight="1" x14ac:dyDescent="0.2">
      <c r="A399" s="1">
        <v>6292</v>
      </c>
      <c r="B399" s="2">
        <v>45675</v>
      </c>
      <c r="C399" s="3" t="s">
        <v>85</v>
      </c>
      <c r="D399" s="1" t="s">
        <v>16</v>
      </c>
      <c r="E399" s="1" t="s">
        <v>23</v>
      </c>
      <c r="F399" s="4">
        <v>4680100</v>
      </c>
      <c r="G399" s="4">
        <v>4550000</v>
      </c>
      <c r="H399" s="4">
        <v>256800</v>
      </c>
      <c r="I399" s="4">
        <v>41900</v>
      </c>
      <c r="J399" s="4">
        <v>9000</v>
      </c>
      <c r="K399" s="4">
        <v>859800</v>
      </c>
      <c r="L399" s="4">
        <v>1029350</v>
      </c>
      <c r="M399" s="4">
        <f>Tabla1[[#This Row],[BASE DEL DIA]]+Tabla1[[#This Row],[ENTREGAS]]+Tabla1[[#This Row],[TARJETAS]]+Tabla1[[#This Row],[NEQUI O QR]]+Tabla1[[#This Row],[VENTAS FE.CREDITO]]-Tabla1[[#This Row],[VENTAS NETAS]]-Tabla1[[#This Row],[BASE ANTERIOR]]</f>
        <v>8050</v>
      </c>
    </row>
    <row r="400" spans="1:13" ht="13.5" customHeight="1" x14ac:dyDescent="0.2">
      <c r="A400" s="1">
        <v>6291</v>
      </c>
      <c r="B400" s="2">
        <v>45675</v>
      </c>
      <c r="C400" s="3" t="s">
        <v>80</v>
      </c>
      <c r="D400" s="1" t="s">
        <v>19</v>
      </c>
      <c r="E400" s="1" t="s">
        <v>22</v>
      </c>
      <c r="F400" s="4">
        <v>2562100</v>
      </c>
      <c r="G400" s="4">
        <v>2180900</v>
      </c>
      <c r="H400" s="4">
        <v>89500</v>
      </c>
      <c r="I400" s="4">
        <v>22800</v>
      </c>
      <c r="J400" s="4">
        <v>15300</v>
      </c>
      <c r="K400" s="4">
        <v>1029350</v>
      </c>
      <c r="L400" s="4">
        <v>775750</v>
      </c>
      <c r="M400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401" spans="1:13" ht="13.5" customHeight="1" x14ac:dyDescent="0.2">
      <c r="A401" s="1">
        <v>6290</v>
      </c>
      <c r="B401" s="2">
        <v>45674</v>
      </c>
      <c r="C401" s="3" t="s">
        <v>83</v>
      </c>
      <c r="D401" s="1" t="s">
        <v>19</v>
      </c>
      <c r="E401" s="1" t="s">
        <v>23</v>
      </c>
      <c r="F401" s="4">
        <v>4538350</v>
      </c>
      <c r="G401" s="4">
        <v>3930000</v>
      </c>
      <c r="H401" s="4">
        <v>503800</v>
      </c>
      <c r="I401" s="4">
        <v>147800</v>
      </c>
      <c r="J401" s="4">
        <v>6500</v>
      </c>
      <c r="K401" s="4">
        <v>775750</v>
      </c>
      <c r="L401" s="4">
        <v>821200</v>
      </c>
      <c r="M401" s="4">
        <f>Tabla1[[#This Row],[BASE DEL DIA]]+Tabla1[[#This Row],[ENTREGAS]]+Tabla1[[#This Row],[TARJETAS]]+Tabla1[[#This Row],[NEQUI O QR]]+Tabla1[[#This Row],[VENTAS FE.CREDITO]]-Tabla1[[#This Row],[VENTAS NETAS]]-Tabla1[[#This Row],[BASE ANTERIOR]]</f>
        <v>4300</v>
      </c>
    </row>
    <row r="402" spans="1:13" ht="13.5" customHeight="1" x14ac:dyDescent="0.2">
      <c r="A402" s="1">
        <v>6289</v>
      </c>
      <c r="B402" s="2">
        <v>45674</v>
      </c>
      <c r="C402" s="3" t="s">
        <v>59</v>
      </c>
      <c r="D402" s="1" t="s">
        <v>16</v>
      </c>
      <c r="E402" s="1" t="s">
        <v>22</v>
      </c>
      <c r="F402" s="4">
        <v>3614200</v>
      </c>
      <c r="G402" s="4">
        <v>3025000</v>
      </c>
      <c r="H402" s="4">
        <v>663600</v>
      </c>
      <c r="I402" s="4">
        <v>0</v>
      </c>
      <c r="J402" s="4">
        <v>0</v>
      </c>
      <c r="K402" s="4">
        <v>821200</v>
      </c>
      <c r="L402" s="4">
        <v>892600</v>
      </c>
      <c r="M402" s="4">
        <f>Tabla1[[#This Row],[BASE DEL DIA]]+Tabla1[[#This Row],[ENTREGAS]]+Tabla1[[#This Row],[TARJETAS]]+Tabla1[[#This Row],[NEQUI O QR]]+Tabla1[[#This Row],[VENTAS FE.CREDITO]]-Tabla1[[#This Row],[VENTAS NETAS]]-Tabla1[[#This Row],[BASE ANTERIOR]]</f>
        <v>3000</v>
      </c>
    </row>
    <row r="403" spans="1:13" ht="13.5" customHeight="1" x14ac:dyDescent="0.2">
      <c r="A403" s="1">
        <v>6288</v>
      </c>
      <c r="B403" s="2">
        <v>45674</v>
      </c>
      <c r="C403" s="3" t="s">
        <v>65</v>
      </c>
      <c r="D403" s="1" t="s">
        <v>19</v>
      </c>
      <c r="E403" s="1" t="s">
        <v>22</v>
      </c>
      <c r="F403" s="4">
        <v>5435400</v>
      </c>
      <c r="G403" s="4">
        <v>4500700</v>
      </c>
      <c r="H403" s="4">
        <v>906500</v>
      </c>
      <c r="I403" s="4">
        <v>130700</v>
      </c>
      <c r="J403" s="4">
        <v>9200</v>
      </c>
      <c r="K403" s="4">
        <v>892600</v>
      </c>
      <c r="L403" s="4">
        <v>1000000</v>
      </c>
      <c r="M403" s="4">
        <f>Tabla1[[#This Row],[BASE DEL DIA]]+Tabla1[[#This Row],[ENTREGAS]]+Tabla1[[#This Row],[TARJETAS]]+Tabla1[[#This Row],[NEQUI O QR]]+Tabla1[[#This Row],[VENTAS FE.CREDITO]]-Tabla1[[#This Row],[VENTAS NETAS]]-Tabla1[[#This Row],[BASE ANTERIOR]]</f>
        <v>4300</v>
      </c>
    </row>
    <row r="404" spans="1:13" ht="13.5" customHeight="1" x14ac:dyDescent="0.2">
      <c r="A404" s="1">
        <v>6287</v>
      </c>
      <c r="B404" s="2">
        <v>45673</v>
      </c>
      <c r="C404" s="3" t="s">
        <v>76</v>
      </c>
      <c r="D404" s="1" t="s">
        <v>18</v>
      </c>
      <c r="E404" s="1" t="s">
        <v>22</v>
      </c>
      <c r="F404" s="4">
        <v>2671000</v>
      </c>
      <c r="G404" s="4">
        <v>2344500</v>
      </c>
      <c r="H404" s="4">
        <v>214900</v>
      </c>
      <c r="I404" s="4">
        <v>0</v>
      </c>
      <c r="J404" s="4">
        <v>0</v>
      </c>
      <c r="K404" s="4">
        <v>1000000</v>
      </c>
      <c r="L404" s="4">
        <v>897900</v>
      </c>
      <c r="M404" s="4">
        <f>Tabla1[[#This Row],[BASE DEL DIA]]+Tabla1[[#This Row],[ENTREGAS]]+Tabla1[[#This Row],[TARJETAS]]+Tabla1[[#This Row],[NEQUI O QR]]+Tabla1[[#This Row],[VENTAS FE.CREDITO]]-Tabla1[[#This Row],[VENTAS NETAS]]-Tabla1[[#This Row],[BASE ANTERIOR]]</f>
        <v>-9500</v>
      </c>
    </row>
    <row r="405" spans="1:13" ht="13.5" customHeight="1" x14ac:dyDescent="0.2">
      <c r="A405" s="1">
        <v>6286</v>
      </c>
      <c r="B405" s="2">
        <v>45672</v>
      </c>
      <c r="C405" s="3" t="s">
        <v>106</v>
      </c>
      <c r="D405" s="1" t="s">
        <v>18</v>
      </c>
      <c r="E405" s="1" t="s">
        <v>22</v>
      </c>
      <c r="F405" s="4">
        <v>4553600</v>
      </c>
      <c r="G405" s="4">
        <v>4014700</v>
      </c>
      <c r="H405" s="4">
        <v>223300</v>
      </c>
      <c r="I405" s="4">
        <v>159900</v>
      </c>
      <c r="K405" s="4">
        <v>897900</v>
      </c>
      <c r="L405" s="4">
        <v>745900</v>
      </c>
      <c r="M405" s="4">
        <f>Tabla1[[#This Row],[BASE DEL DIA]]+Tabla1[[#This Row],[ENTREGAS]]+Tabla1[[#This Row],[TARJETAS]]+Tabla1[[#This Row],[NEQUI O QR]]+Tabla1[[#This Row],[VENTAS FE.CREDITO]]-Tabla1[[#This Row],[VENTAS NETAS]]-Tabla1[[#This Row],[BASE ANTERIOR]]</f>
        <v>-3700</v>
      </c>
    </row>
    <row r="406" spans="1:13" ht="13.5" customHeight="1" x14ac:dyDescent="0.2">
      <c r="A406" s="1">
        <v>6285</v>
      </c>
      <c r="B406" s="2">
        <v>45672</v>
      </c>
      <c r="C406" s="3" t="s">
        <v>135</v>
      </c>
      <c r="D406" s="1" t="s">
        <v>19</v>
      </c>
      <c r="E406" s="1" t="s">
        <v>23</v>
      </c>
      <c r="F406" s="4">
        <v>2234200</v>
      </c>
      <c r="G406" s="4">
        <v>2061880</v>
      </c>
      <c r="H406" s="4">
        <v>166300</v>
      </c>
      <c r="I406" s="4">
        <v>13100</v>
      </c>
      <c r="J406" s="4">
        <v>0</v>
      </c>
      <c r="K406" s="4">
        <v>745900</v>
      </c>
      <c r="L406" s="4">
        <v>753900</v>
      </c>
      <c r="M406" s="4">
        <f>Tabla1[[#This Row],[BASE DEL DIA]]+Tabla1[[#This Row],[ENTREGAS]]+Tabla1[[#This Row],[TARJETAS]]+Tabla1[[#This Row],[NEQUI O QR]]+Tabla1[[#This Row],[VENTAS FE.CREDITO]]-Tabla1[[#This Row],[VENTAS NETAS]]-Tabla1[[#This Row],[BASE ANTERIOR]]</f>
        <v>-920</v>
      </c>
    </row>
    <row r="407" spans="1:13" ht="13.5" customHeight="1" x14ac:dyDescent="0.2">
      <c r="A407" s="1">
        <v>6284</v>
      </c>
      <c r="B407" s="2">
        <v>45671</v>
      </c>
      <c r="C407" s="3" t="s">
        <v>73</v>
      </c>
      <c r="D407" s="1" t="s">
        <v>19</v>
      </c>
      <c r="E407" s="1" t="s">
        <v>23</v>
      </c>
      <c r="F407" s="4">
        <v>3307350</v>
      </c>
      <c r="G407" s="4">
        <v>3102000</v>
      </c>
      <c r="H407" s="4">
        <v>380050</v>
      </c>
      <c r="J407" s="4">
        <v>1800</v>
      </c>
      <c r="K407" s="4">
        <v>753900</v>
      </c>
      <c r="L407" s="4">
        <v>931100</v>
      </c>
      <c r="M407" s="4">
        <f>Tabla1[[#This Row],[BASE DEL DIA]]+Tabla1[[#This Row],[ENTREGAS]]+Tabla1[[#This Row],[TARJETAS]]+Tabla1[[#This Row],[NEQUI O QR]]+Tabla1[[#This Row],[VENTAS FE.CREDITO]]-Tabla1[[#This Row],[VENTAS NETAS]]-Tabla1[[#This Row],[BASE ANTERIOR]]</f>
        <v>-700</v>
      </c>
    </row>
    <row r="408" spans="1:13" ht="13.5" customHeight="1" x14ac:dyDescent="0.2">
      <c r="A408" s="1">
        <v>6283</v>
      </c>
      <c r="B408" s="2">
        <v>45671</v>
      </c>
      <c r="C408" s="3" t="s">
        <v>162</v>
      </c>
      <c r="D408" s="1" t="s">
        <v>18</v>
      </c>
      <c r="E408" s="1" t="s">
        <v>22</v>
      </c>
      <c r="F408" s="4">
        <v>2312000</v>
      </c>
      <c r="G408" s="4">
        <v>2155400</v>
      </c>
      <c r="H408" s="4">
        <v>167800</v>
      </c>
      <c r="I408" s="4">
        <v>0</v>
      </c>
      <c r="J408" s="4">
        <v>14900</v>
      </c>
      <c r="K408" s="4">
        <v>931100</v>
      </c>
      <c r="L408" s="4">
        <v>955700</v>
      </c>
      <c r="M408" s="4">
        <f>Tabla1[[#This Row],[BASE DEL DIA]]+Tabla1[[#This Row],[ENTREGAS]]+Tabla1[[#This Row],[TARJETAS]]+Tabla1[[#This Row],[NEQUI O QR]]+Tabla1[[#This Row],[VENTAS FE.CREDITO]]-Tabla1[[#This Row],[VENTAS NETAS]]-Tabla1[[#This Row],[BASE ANTERIOR]]</f>
        <v>1500</v>
      </c>
    </row>
    <row r="409" spans="1:13" ht="13.5" customHeight="1" x14ac:dyDescent="0.2">
      <c r="A409" s="1">
        <v>6282</v>
      </c>
      <c r="B409" s="2">
        <v>45670</v>
      </c>
      <c r="C409" s="3" t="s">
        <v>85</v>
      </c>
      <c r="D409" s="1" t="s">
        <v>18</v>
      </c>
      <c r="E409" s="1" t="s">
        <v>23</v>
      </c>
      <c r="F409" s="4">
        <v>4451800</v>
      </c>
      <c r="G409" s="4">
        <v>4245000</v>
      </c>
      <c r="H409" s="4">
        <v>183400</v>
      </c>
      <c r="I409" s="4">
        <v>0</v>
      </c>
      <c r="J409" s="4">
        <v>10000</v>
      </c>
      <c r="K409" s="4">
        <v>955700</v>
      </c>
      <c r="L409" s="4">
        <v>941950</v>
      </c>
      <c r="M409" s="4">
        <f>Tabla1[[#This Row],[BASE DEL DIA]]+Tabla1[[#This Row],[ENTREGAS]]+Tabla1[[#This Row],[TARJETAS]]+Tabla1[[#This Row],[NEQUI O QR]]+Tabla1[[#This Row],[VENTAS FE.CREDITO]]-Tabla1[[#This Row],[VENTAS NETAS]]-Tabla1[[#This Row],[BASE ANTERIOR]]</f>
        <v>350</v>
      </c>
    </row>
    <row r="410" spans="1:13" ht="13.5" customHeight="1" x14ac:dyDescent="0.2">
      <c r="A410" s="1">
        <v>6282</v>
      </c>
      <c r="B410" s="2">
        <v>45670</v>
      </c>
      <c r="C410" s="3" t="s">
        <v>104</v>
      </c>
      <c r="D410" s="1" t="s">
        <v>19</v>
      </c>
      <c r="E410" s="1" t="s">
        <v>22</v>
      </c>
      <c r="F410" s="4">
        <v>1879200</v>
      </c>
      <c r="G410" s="4">
        <v>1404500</v>
      </c>
      <c r="H410" s="4">
        <v>48200</v>
      </c>
      <c r="I410" s="4">
        <v>0</v>
      </c>
      <c r="J410" s="4">
        <v>0</v>
      </c>
      <c r="K410" s="4">
        <v>941950</v>
      </c>
      <c r="L410" s="4">
        <v>679500</v>
      </c>
      <c r="M410" s="4">
        <f>Tabla1[[#This Row],[BASE DEL DIA]]+Tabla1[[#This Row],[ENTREGAS]]+Tabla1[[#This Row],[TARJETAS]]+Tabla1[[#This Row],[NEQUI O QR]]+Tabla1[[#This Row],[VENTAS FE.CREDITO]]-Tabla1[[#This Row],[VENTAS NETAS]]-Tabla1[[#This Row],[BASE ANTERIOR]]</f>
        <v>-164050</v>
      </c>
    </row>
    <row r="411" spans="1:13" ht="13.5" customHeight="1" x14ac:dyDescent="0.2">
      <c r="A411" s="1">
        <v>6281</v>
      </c>
      <c r="B411" s="2">
        <v>45669</v>
      </c>
      <c r="C411" s="3" t="s">
        <v>156</v>
      </c>
      <c r="D411" s="1" t="s">
        <v>133</v>
      </c>
      <c r="E411" s="1" t="s">
        <v>23</v>
      </c>
      <c r="F411" s="4">
        <v>3366500</v>
      </c>
      <c r="G411" s="4">
        <v>3446000</v>
      </c>
      <c r="H411" s="4">
        <v>71100</v>
      </c>
      <c r="I411" s="4">
        <v>125800</v>
      </c>
      <c r="J411" s="4">
        <v>8200</v>
      </c>
      <c r="K411" s="4">
        <v>679000</v>
      </c>
      <c r="L411" s="4">
        <v>958650</v>
      </c>
      <c r="M411" s="4">
        <f>Tabla1[[#This Row],[BASE DEL DIA]]+Tabla1[[#This Row],[ENTREGAS]]+Tabla1[[#This Row],[TARJETAS]]+Tabla1[[#This Row],[NEQUI O QR]]+Tabla1[[#This Row],[VENTAS FE.CREDITO]]-Tabla1[[#This Row],[VENTAS NETAS]]-Tabla1[[#This Row],[BASE ANTERIOR]]</f>
        <v>4950</v>
      </c>
    </row>
    <row r="412" spans="1:13" ht="13.5" customHeight="1" x14ac:dyDescent="0.2">
      <c r="A412" s="1">
        <v>6280</v>
      </c>
      <c r="B412" s="2">
        <v>45669</v>
      </c>
      <c r="C412" s="3" t="s">
        <v>142</v>
      </c>
      <c r="D412" s="1" t="s">
        <v>17</v>
      </c>
      <c r="E412" s="1" t="s">
        <v>23</v>
      </c>
      <c r="F412" s="4">
        <v>3518000</v>
      </c>
      <c r="G412" s="4">
        <v>3270000</v>
      </c>
      <c r="H412" s="4">
        <v>131300</v>
      </c>
      <c r="I412" s="4">
        <v>45600</v>
      </c>
      <c r="J412" s="4">
        <v>2300</v>
      </c>
      <c r="K412" s="4">
        <v>958650</v>
      </c>
      <c r="L412" s="4">
        <v>890500</v>
      </c>
      <c r="M412" s="4">
        <f>Tabla1[[#This Row],[BASE DEL DIA]]+Tabla1[[#This Row],[ENTREGAS]]+Tabla1[[#This Row],[TARJETAS]]+Tabla1[[#This Row],[NEQUI O QR]]+Tabla1[[#This Row],[VENTAS FE.CREDITO]]-Tabla1[[#This Row],[VENTAS NETAS]]-Tabla1[[#This Row],[BASE ANTERIOR]]</f>
        <v>-650</v>
      </c>
    </row>
    <row r="413" spans="1:13" ht="13.5" customHeight="1" x14ac:dyDescent="0.2">
      <c r="A413" s="1">
        <v>6279</v>
      </c>
      <c r="B413" s="2">
        <v>45668</v>
      </c>
      <c r="C413" s="3" t="s">
        <v>110</v>
      </c>
      <c r="D413" s="1" t="s">
        <v>17</v>
      </c>
      <c r="E413" s="1" t="s">
        <v>23</v>
      </c>
      <c r="F413" s="4">
        <v>3998100</v>
      </c>
      <c r="G413" s="4">
        <v>3661000</v>
      </c>
      <c r="H413" s="4">
        <v>257800</v>
      </c>
      <c r="I413" s="4">
        <v>91500</v>
      </c>
      <c r="J413" s="4">
        <v>24600</v>
      </c>
      <c r="K413" s="4">
        <v>888500</v>
      </c>
      <c r="L413" s="4">
        <v>924700</v>
      </c>
      <c r="M413" s="4">
        <f>Tabla1[[#This Row],[BASE DEL DIA]]+Tabla1[[#This Row],[ENTREGAS]]+Tabla1[[#This Row],[TARJETAS]]+Tabla1[[#This Row],[NEQUI O QR]]+Tabla1[[#This Row],[VENTAS FE.CREDITO]]-Tabla1[[#This Row],[VENTAS NETAS]]-Tabla1[[#This Row],[BASE ANTERIOR]]</f>
        <v>600</v>
      </c>
    </row>
    <row r="414" spans="1:13" ht="13.5" customHeight="1" x14ac:dyDescent="0.2">
      <c r="A414" s="1">
        <v>6278</v>
      </c>
      <c r="B414" s="2">
        <v>45668</v>
      </c>
      <c r="C414" s="3" t="s">
        <v>155</v>
      </c>
      <c r="D414" s="1" t="s">
        <v>19</v>
      </c>
      <c r="E414" s="1" t="s">
        <v>22</v>
      </c>
      <c r="F414" s="4">
        <v>2688600</v>
      </c>
      <c r="G414" s="4">
        <v>2580000</v>
      </c>
      <c r="H414" s="4">
        <v>106700</v>
      </c>
      <c r="I414" s="4">
        <v>63100</v>
      </c>
      <c r="J414" s="4">
        <v>25000</v>
      </c>
      <c r="K414" s="4">
        <v>924700</v>
      </c>
      <c r="L414" s="4">
        <v>1009550</v>
      </c>
      <c r="M414" s="4">
        <f>Tabla1[[#This Row],[BASE DEL DIA]]+Tabla1[[#This Row],[ENTREGAS]]+Tabla1[[#This Row],[TARJETAS]]+Tabla1[[#This Row],[NEQUI O QR]]+Tabla1[[#This Row],[VENTAS FE.CREDITO]]-Tabla1[[#This Row],[VENTAS NETAS]]-Tabla1[[#This Row],[BASE ANTERIOR]]</f>
        <v>1350</v>
      </c>
    </row>
    <row r="415" spans="1:13" ht="13.5" customHeight="1" x14ac:dyDescent="0.2">
      <c r="A415" s="1">
        <v>6277</v>
      </c>
      <c r="B415" s="2">
        <v>45667</v>
      </c>
      <c r="C415" s="3" t="s">
        <v>40</v>
      </c>
      <c r="D415" s="1" t="s">
        <v>19</v>
      </c>
      <c r="E415" s="1" t="s">
        <v>23</v>
      </c>
      <c r="F415" s="4">
        <v>3038220</v>
      </c>
      <c r="G415" s="4">
        <v>2780000</v>
      </c>
      <c r="H415" s="4">
        <v>172600</v>
      </c>
      <c r="I415" s="4">
        <v>7300</v>
      </c>
      <c r="J415" s="4">
        <v>19400</v>
      </c>
      <c r="K415" s="4">
        <v>1009550</v>
      </c>
      <c r="L415" s="4">
        <v>949150</v>
      </c>
      <c r="M415" s="4">
        <f>Tabla1[[#This Row],[BASE DEL DIA]]+Tabla1[[#This Row],[ENTREGAS]]+Tabla1[[#This Row],[TARJETAS]]+Tabla1[[#This Row],[NEQUI O QR]]+Tabla1[[#This Row],[VENTAS FE.CREDITO]]-Tabla1[[#This Row],[VENTAS NETAS]]-Tabla1[[#This Row],[BASE ANTERIOR]]</f>
        <v>1480</v>
      </c>
    </row>
    <row r="416" spans="1:13" ht="13.5" customHeight="1" x14ac:dyDescent="0.2">
      <c r="A416" s="1">
        <v>6276</v>
      </c>
      <c r="B416" s="2">
        <v>45667</v>
      </c>
      <c r="C416" s="3" t="s">
        <v>126</v>
      </c>
      <c r="D416" s="1" t="s">
        <v>17</v>
      </c>
      <c r="E416" s="1" t="s">
        <v>22</v>
      </c>
      <c r="F416" s="4">
        <v>1995530</v>
      </c>
      <c r="G416" s="4">
        <v>1845450</v>
      </c>
      <c r="H416" s="4">
        <v>7000</v>
      </c>
      <c r="I416" s="4">
        <v>86100</v>
      </c>
      <c r="J416" s="4">
        <v>2000</v>
      </c>
      <c r="K416" s="4">
        <v>949150</v>
      </c>
      <c r="L416" s="4">
        <v>893500</v>
      </c>
      <c r="M416" s="4">
        <f>Tabla1[[#This Row],[BASE DEL DIA]]+Tabla1[[#This Row],[ENTREGAS]]+Tabla1[[#This Row],[TARJETAS]]+Tabla1[[#This Row],[NEQUI O QR]]+Tabla1[[#This Row],[VENTAS FE.CREDITO]]-Tabla1[[#This Row],[VENTAS NETAS]]-Tabla1[[#This Row],[BASE ANTERIOR]]</f>
        <v>670</v>
      </c>
    </row>
    <row r="417" spans="1:13" ht="13.5" customHeight="1" x14ac:dyDescent="0.2">
      <c r="A417" s="1">
        <v>6275</v>
      </c>
      <c r="B417" s="2">
        <v>45666</v>
      </c>
      <c r="C417" s="3" t="s">
        <v>130</v>
      </c>
      <c r="D417" s="1" t="s">
        <v>17</v>
      </c>
      <c r="E417" s="1" t="s">
        <v>23</v>
      </c>
      <c r="F417" s="4">
        <v>2645500</v>
      </c>
      <c r="G417" s="4">
        <v>2369000</v>
      </c>
      <c r="H417" s="4">
        <v>143700</v>
      </c>
      <c r="I417" s="4">
        <v>167200</v>
      </c>
      <c r="J417" s="4">
        <v>0</v>
      </c>
      <c r="K417" s="4">
        <v>893500</v>
      </c>
      <c r="L417" s="4">
        <v>925100</v>
      </c>
      <c r="M417" s="4">
        <f>Tabla1[[#This Row],[BASE DEL DIA]]+Tabla1[[#This Row],[ENTREGAS]]+Tabla1[[#This Row],[TARJETAS]]+Tabla1[[#This Row],[NEQUI O QR]]+Tabla1[[#This Row],[VENTAS FE.CREDITO]]-Tabla1[[#This Row],[VENTAS NETAS]]-Tabla1[[#This Row],[BASE ANTERIOR]]</f>
        <v>2800</v>
      </c>
    </row>
    <row r="418" spans="1:13" ht="13.5" customHeight="1" x14ac:dyDescent="0.2">
      <c r="A418" s="1">
        <v>6274</v>
      </c>
      <c r="B418" s="2">
        <v>45666</v>
      </c>
      <c r="C418" s="3" t="s">
        <v>155</v>
      </c>
      <c r="D418" s="1" t="s">
        <v>19</v>
      </c>
      <c r="E418" s="1" t="s">
        <v>23</v>
      </c>
      <c r="F418" s="4">
        <v>2882100</v>
      </c>
      <c r="G418" s="4">
        <v>2885000</v>
      </c>
      <c r="H418" s="4">
        <v>27000</v>
      </c>
      <c r="I418" s="4">
        <v>42400</v>
      </c>
      <c r="J418" s="4">
        <v>7600</v>
      </c>
      <c r="K418" s="4">
        <v>925100</v>
      </c>
      <c r="L418" s="4">
        <v>1004300</v>
      </c>
      <c r="M418" s="4">
        <f>Tabla1[[#This Row],[BASE DEL DIA]]+Tabla1[[#This Row],[ENTREGAS]]+Tabla1[[#This Row],[TARJETAS]]+Tabla1[[#This Row],[NEQUI O QR]]+Tabla1[[#This Row],[VENTAS FE.CREDITO]]-Tabla1[[#This Row],[VENTAS NETAS]]-Tabla1[[#This Row],[BASE ANTERIOR]]</f>
        <v>700</v>
      </c>
    </row>
    <row r="419" spans="1:13" ht="13.5" customHeight="1" x14ac:dyDescent="0.2">
      <c r="A419" s="1">
        <v>6273</v>
      </c>
      <c r="B419" s="2">
        <v>45665</v>
      </c>
      <c r="C419" s="3" t="s">
        <v>107</v>
      </c>
      <c r="D419" s="1" t="s">
        <v>19</v>
      </c>
      <c r="E419" s="1" t="s">
        <v>23</v>
      </c>
      <c r="F419" s="4">
        <v>3365200</v>
      </c>
      <c r="G419" s="4">
        <v>3225000</v>
      </c>
      <c r="H419" s="4">
        <v>136700</v>
      </c>
      <c r="I419" s="4">
        <v>24800</v>
      </c>
      <c r="J419" s="4">
        <v>17700</v>
      </c>
      <c r="K419" s="4">
        <v>1004300</v>
      </c>
      <c r="L419" s="4">
        <v>1042200</v>
      </c>
      <c r="M419" s="4">
        <f>Tabla1[[#This Row],[BASE DEL DIA]]+Tabla1[[#This Row],[ENTREGAS]]+Tabla1[[#This Row],[TARJETAS]]+Tabla1[[#This Row],[NEQUI O QR]]+Tabla1[[#This Row],[VENTAS FE.CREDITO]]-Tabla1[[#This Row],[VENTAS NETAS]]-Tabla1[[#This Row],[BASE ANTERIOR]]</f>
        <v>1100</v>
      </c>
    </row>
    <row r="420" spans="1:13" ht="13.5" customHeight="1" x14ac:dyDescent="0.2">
      <c r="A420" s="1">
        <v>6272</v>
      </c>
      <c r="B420" s="2">
        <v>45665</v>
      </c>
      <c r="C420" s="3" t="s">
        <v>74</v>
      </c>
      <c r="D420" s="1" t="s">
        <v>17</v>
      </c>
      <c r="E420" s="1" t="s">
        <v>22</v>
      </c>
      <c r="F420" s="4">
        <v>2439850</v>
      </c>
      <c r="G420" s="4">
        <v>2158000</v>
      </c>
      <c r="H420" s="4">
        <v>138200</v>
      </c>
      <c r="I420" s="4">
        <v>12000</v>
      </c>
      <c r="J420" s="4">
        <v>8900</v>
      </c>
      <c r="K420" s="4">
        <v>1042200</v>
      </c>
      <c r="L420" s="4">
        <v>921650</v>
      </c>
      <c r="M420" s="4">
        <f>Tabla1[[#This Row],[BASE DEL DIA]]+Tabla1[[#This Row],[ENTREGAS]]+Tabla1[[#This Row],[TARJETAS]]+Tabla1[[#This Row],[NEQUI O QR]]+Tabla1[[#This Row],[VENTAS FE.CREDITO]]-Tabla1[[#This Row],[VENTAS NETAS]]-Tabla1[[#This Row],[BASE ANTERIOR]]</f>
        <v>-2200</v>
      </c>
    </row>
    <row r="421" spans="1:13" ht="13.5" customHeight="1" x14ac:dyDescent="0.2">
      <c r="A421" s="1">
        <v>6271</v>
      </c>
      <c r="B421" s="2">
        <v>45664</v>
      </c>
      <c r="C421" s="3" t="s">
        <v>130</v>
      </c>
      <c r="D421" s="1" t="s">
        <v>17</v>
      </c>
      <c r="E421" s="1" t="s">
        <v>23</v>
      </c>
      <c r="F421" s="4">
        <v>4603900</v>
      </c>
      <c r="G421" s="4">
        <v>4178000</v>
      </c>
      <c r="H421" s="4">
        <v>338500</v>
      </c>
      <c r="I421" s="4">
        <v>49400</v>
      </c>
      <c r="J421" s="4">
        <v>15300</v>
      </c>
      <c r="K421" s="4">
        <v>921650</v>
      </c>
      <c r="L421" s="4">
        <v>896050</v>
      </c>
      <c r="M421" s="4">
        <f>Tabla1[[#This Row],[BASE DEL DIA]]+Tabla1[[#This Row],[ENTREGAS]]+Tabla1[[#This Row],[TARJETAS]]+Tabla1[[#This Row],[NEQUI O QR]]+Tabla1[[#This Row],[VENTAS FE.CREDITO]]-Tabla1[[#This Row],[VENTAS NETAS]]-Tabla1[[#This Row],[BASE ANTERIOR]]</f>
        <v>2900</v>
      </c>
    </row>
    <row r="422" spans="1:13" ht="13.5" customHeight="1" x14ac:dyDescent="0.2">
      <c r="A422" s="1">
        <v>6270</v>
      </c>
      <c r="B422" s="2">
        <v>45664</v>
      </c>
      <c r="C422" s="3" t="s">
        <v>86</v>
      </c>
      <c r="D422" s="1" t="s">
        <v>19</v>
      </c>
      <c r="E422" s="1" t="s">
        <v>22</v>
      </c>
      <c r="F422" s="4">
        <v>3187400</v>
      </c>
      <c r="G422" s="4">
        <v>3181000</v>
      </c>
      <c r="H422" s="4">
        <v>88400</v>
      </c>
      <c r="I422" s="4">
        <v>0</v>
      </c>
      <c r="J422" s="4">
        <v>0</v>
      </c>
      <c r="K422" s="4">
        <v>896050</v>
      </c>
      <c r="L422" s="4">
        <v>978500</v>
      </c>
      <c r="M422" s="4">
        <f>Tabla1[[#This Row],[BASE DEL DIA]]+Tabla1[[#This Row],[ENTREGAS]]+Tabla1[[#This Row],[TARJETAS]]+Tabla1[[#This Row],[NEQUI O QR]]+Tabla1[[#This Row],[VENTAS FE.CREDITO]]-Tabla1[[#This Row],[VENTAS NETAS]]-Tabla1[[#This Row],[BASE ANTERIOR]]</f>
        <v>-450</v>
      </c>
    </row>
    <row r="423" spans="1:13" ht="13.5" customHeight="1" x14ac:dyDescent="0.2">
      <c r="A423" s="1">
        <v>6269</v>
      </c>
      <c r="B423" s="2">
        <v>45663</v>
      </c>
      <c r="C423" s="3" t="s">
        <v>156</v>
      </c>
      <c r="D423" s="1" t="s">
        <v>19</v>
      </c>
      <c r="E423" s="1" t="s">
        <v>23</v>
      </c>
      <c r="F423" s="4">
        <v>3826100</v>
      </c>
      <c r="G423" s="4">
        <v>3170000</v>
      </c>
      <c r="H423" s="4">
        <v>484700</v>
      </c>
      <c r="I423" s="4">
        <v>25300</v>
      </c>
      <c r="J423" s="4">
        <v>25700</v>
      </c>
      <c r="K423" s="4">
        <v>978500</v>
      </c>
      <c r="L423" s="4">
        <v>858800</v>
      </c>
      <c r="M423" s="4">
        <f>Tabla1[[#This Row],[BASE DEL DIA]]+Tabla1[[#This Row],[ENTREGAS]]+Tabla1[[#This Row],[TARJETAS]]+Tabla1[[#This Row],[NEQUI O QR]]+Tabla1[[#This Row],[VENTAS FE.CREDITO]]-Tabla1[[#This Row],[VENTAS NETAS]]-Tabla1[[#This Row],[BASE ANTERIOR]]</f>
        <v>-700</v>
      </c>
    </row>
    <row r="424" spans="1:13" ht="13.5" customHeight="1" x14ac:dyDescent="0.2">
      <c r="B424" s="2">
        <v>45663</v>
      </c>
      <c r="C424" s="3" t="s">
        <v>62</v>
      </c>
      <c r="D424" s="1" t="s">
        <v>16</v>
      </c>
      <c r="E424" s="1" t="s">
        <v>24</v>
      </c>
      <c r="F424" s="4">
        <v>2920200</v>
      </c>
      <c r="G424" s="4">
        <v>2827200</v>
      </c>
      <c r="H424" s="4">
        <v>174800</v>
      </c>
      <c r="I424" s="4">
        <v>67000</v>
      </c>
      <c r="K424" s="4">
        <v>858800</v>
      </c>
      <c r="L424" s="4">
        <v>995000</v>
      </c>
      <c r="M424" s="4">
        <f>Tabla1[[#This Row],[BASE DEL DIA]]+Tabla1[[#This Row],[ENTREGAS]]+Tabla1[[#This Row],[TARJETAS]]+Tabla1[[#This Row],[NEQUI O QR]]+Tabla1[[#This Row],[VENTAS FE.CREDITO]]-Tabla1[[#This Row],[VENTAS NETAS]]-Tabla1[[#This Row],[BASE ANTERIOR]]</f>
        <v>12600</v>
      </c>
    </row>
    <row r="425" spans="1:13" ht="13.5" customHeight="1" x14ac:dyDescent="0.2">
      <c r="A425" s="1">
        <v>6267</v>
      </c>
      <c r="B425" s="2">
        <v>45662</v>
      </c>
      <c r="C425" s="3" t="s">
        <v>110</v>
      </c>
      <c r="D425" s="1" t="s">
        <v>16</v>
      </c>
      <c r="E425" s="1" t="s">
        <v>24</v>
      </c>
      <c r="F425" s="4">
        <v>8546400</v>
      </c>
      <c r="G425" s="4">
        <v>7428800</v>
      </c>
      <c r="H425" s="4">
        <v>826100</v>
      </c>
      <c r="I425" s="4">
        <v>325300</v>
      </c>
      <c r="J425" s="4">
        <v>0</v>
      </c>
      <c r="K425" s="4">
        <v>995000</v>
      </c>
      <c r="L425" s="4">
        <v>1026700</v>
      </c>
      <c r="M425" s="4">
        <f>Tabla1[[#This Row],[BASE DEL DIA]]+Tabla1[[#This Row],[ENTREGAS]]+Tabla1[[#This Row],[TARJETAS]]+Tabla1[[#This Row],[NEQUI O QR]]+Tabla1[[#This Row],[VENTAS FE.CREDITO]]-Tabla1[[#This Row],[VENTAS NETAS]]-Tabla1[[#This Row],[BASE ANTERIOR]]</f>
        <v>2100</v>
      </c>
    </row>
    <row r="426" spans="1:13" ht="13.5" customHeight="1" x14ac:dyDescent="0.2">
      <c r="B426" s="2">
        <v>45661</v>
      </c>
      <c r="C426" s="3" t="s">
        <v>63</v>
      </c>
      <c r="D426" s="1" t="s">
        <v>18</v>
      </c>
      <c r="E426" s="1" t="s">
        <v>22</v>
      </c>
      <c r="F426" s="4">
        <v>9209150</v>
      </c>
      <c r="G426" s="4">
        <v>7874500</v>
      </c>
      <c r="H426" s="4">
        <v>1347700</v>
      </c>
      <c r="I426" s="4">
        <v>36600</v>
      </c>
      <c r="J426" s="4">
        <v>3800</v>
      </c>
      <c r="K426" s="4">
        <v>1026700</v>
      </c>
      <c r="L426" s="4">
        <v>905750</v>
      </c>
      <c r="M426" s="4">
        <f>Tabla1[[#This Row],[BASE DEL DIA]]+Tabla1[[#This Row],[ENTREGAS]]+Tabla1[[#This Row],[TARJETAS]]+Tabla1[[#This Row],[NEQUI O QR]]+Tabla1[[#This Row],[VENTAS FE.CREDITO]]-Tabla1[[#This Row],[VENTAS NETAS]]-Tabla1[[#This Row],[BASE ANTERIOR]]</f>
        <v>174400</v>
      </c>
    </row>
    <row r="427" spans="1:13" ht="13.5" customHeight="1" x14ac:dyDescent="0.2">
      <c r="A427" s="1">
        <v>6265</v>
      </c>
      <c r="B427" s="2">
        <v>45660</v>
      </c>
      <c r="C427" s="3" t="s">
        <v>107</v>
      </c>
      <c r="D427" s="1" t="s">
        <v>18</v>
      </c>
      <c r="E427" s="1" t="s">
        <v>22</v>
      </c>
      <c r="F427" s="4">
        <v>3012200</v>
      </c>
      <c r="G427" s="4">
        <v>2830000</v>
      </c>
      <c r="H427" s="4">
        <v>198300</v>
      </c>
      <c r="I427" s="4">
        <v>0</v>
      </c>
      <c r="J427" s="4">
        <v>26800</v>
      </c>
      <c r="K427" s="4">
        <v>905850</v>
      </c>
      <c r="L427" s="4">
        <v>948750</v>
      </c>
      <c r="M427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428" spans="1:13" ht="13.5" customHeight="1" x14ac:dyDescent="0.2">
      <c r="A428" s="1">
        <v>6264</v>
      </c>
      <c r="B428" s="2">
        <v>45660</v>
      </c>
      <c r="C428" s="3" t="s">
        <v>75</v>
      </c>
      <c r="D428" s="1" t="s">
        <v>16</v>
      </c>
      <c r="E428" s="1" t="s">
        <v>23</v>
      </c>
      <c r="F428" s="4">
        <v>2975200</v>
      </c>
      <c r="G428" s="4">
        <v>2723000</v>
      </c>
      <c r="H428" s="4">
        <v>293100</v>
      </c>
      <c r="I428" s="4">
        <v>0</v>
      </c>
      <c r="J428" s="4">
        <v>3300</v>
      </c>
      <c r="K428" s="4">
        <v>948750</v>
      </c>
      <c r="L428" s="4">
        <v>993150</v>
      </c>
      <c r="M428" s="4">
        <f>Tabla1[[#This Row],[BASE DEL DIA]]+Tabla1[[#This Row],[ENTREGAS]]+Tabla1[[#This Row],[TARJETAS]]+Tabla1[[#This Row],[NEQUI O QR]]+Tabla1[[#This Row],[VENTAS FE.CREDITO]]-Tabla1[[#This Row],[VENTAS NETAS]]-Tabla1[[#This Row],[BASE ANTERIOR]]</f>
        <v>-200</v>
      </c>
    </row>
    <row r="429" spans="1:13" ht="13.5" customHeight="1" x14ac:dyDescent="0.2">
      <c r="A429" s="1">
        <v>6263</v>
      </c>
      <c r="B429" s="2">
        <v>45659</v>
      </c>
      <c r="C429" s="3" t="s">
        <v>106</v>
      </c>
      <c r="D429" s="1" t="s">
        <v>16</v>
      </c>
      <c r="E429" s="1" t="s">
        <v>23</v>
      </c>
      <c r="F429" s="4">
        <v>5079800</v>
      </c>
      <c r="G429" s="4">
        <v>4560000</v>
      </c>
      <c r="H429" s="4">
        <v>360200</v>
      </c>
      <c r="I429" s="4">
        <v>96800</v>
      </c>
      <c r="J429" s="4">
        <v>7800</v>
      </c>
      <c r="K429" s="4">
        <v>993150</v>
      </c>
      <c r="L429" s="4">
        <v>927650</v>
      </c>
      <c r="M429" s="4">
        <f>Tabla1[[#This Row],[BASE DEL DIA]]+Tabla1[[#This Row],[ENTREGAS]]+Tabla1[[#This Row],[TARJETAS]]+Tabla1[[#This Row],[NEQUI O QR]]+Tabla1[[#This Row],[VENTAS FE.CREDITO]]-Tabla1[[#This Row],[VENTAS NETAS]]-Tabla1[[#This Row],[BASE ANTERIOR]]</f>
        <v>10500</v>
      </c>
    </row>
    <row r="430" spans="1:13" ht="13.5" customHeight="1" x14ac:dyDescent="0.2">
      <c r="A430" s="1">
        <v>6262</v>
      </c>
      <c r="B430" s="2">
        <v>45659</v>
      </c>
      <c r="C430" s="3" t="s">
        <v>112</v>
      </c>
      <c r="D430" s="1" t="s">
        <v>18</v>
      </c>
      <c r="E430" s="1" t="s">
        <v>22</v>
      </c>
      <c r="F430" s="4">
        <v>6560700</v>
      </c>
      <c r="G430" s="4">
        <v>6006000</v>
      </c>
      <c r="H430" s="4">
        <v>442000</v>
      </c>
      <c r="I430" s="4">
        <v>63900</v>
      </c>
      <c r="J430" s="4">
        <v>8700</v>
      </c>
      <c r="K430" s="4">
        <v>927650</v>
      </c>
      <c r="L430" s="4">
        <v>882750</v>
      </c>
      <c r="M430" s="4">
        <f>Tabla1[[#This Row],[BASE DEL DIA]]+Tabla1[[#This Row],[ENTREGAS]]+Tabla1[[#This Row],[TARJETAS]]+Tabla1[[#This Row],[NEQUI O QR]]+Tabla1[[#This Row],[VENTAS FE.CREDITO]]-Tabla1[[#This Row],[VENTAS NETAS]]-Tabla1[[#This Row],[BASE ANTERIOR]]</f>
        <v>4800</v>
      </c>
    </row>
    <row r="431" spans="1:13" ht="13.5" customHeight="1" x14ac:dyDescent="0.2">
      <c r="B431" s="2">
        <v>45658</v>
      </c>
      <c r="C431" s="3" t="s">
        <v>169</v>
      </c>
      <c r="D431" s="1" t="s">
        <v>18</v>
      </c>
      <c r="E431" s="1" t="s">
        <v>23</v>
      </c>
      <c r="F431" s="4">
        <v>2795300</v>
      </c>
      <c r="G431" s="4">
        <v>2500000</v>
      </c>
      <c r="H431" s="4">
        <v>225400</v>
      </c>
      <c r="I431" s="4">
        <v>63900</v>
      </c>
      <c r="J431" s="4">
        <v>8700</v>
      </c>
      <c r="K431" s="4">
        <v>882750</v>
      </c>
      <c r="L431" s="4">
        <v>884950</v>
      </c>
      <c r="M431" s="4">
        <f>Tabla1[[#This Row],[BASE DEL DIA]]+Tabla1[[#This Row],[ENTREGAS]]+Tabla1[[#This Row],[TARJETAS]]+Tabla1[[#This Row],[NEQUI O QR]]+Tabla1[[#This Row],[VENTAS FE.CREDITO]]-Tabla1[[#This Row],[VENTAS NETAS]]-Tabla1[[#This Row],[BASE ANTERIOR]]</f>
        <v>500</v>
      </c>
    </row>
    <row r="432" spans="1:13" ht="13.5" customHeight="1" x14ac:dyDescent="0.2">
      <c r="A432" s="1">
        <v>6261</v>
      </c>
      <c r="B432" s="2">
        <v>45658</v>
      </c>
      <c r="C432" s="3" t="s">
        <v>147</v>
      </c>
      <c r="D432" s="1" t="s">
        <v>16</v>
      </c>
      <c r="E432" s="1" t="s">
        <v>22</v>
      </c>
      <c r="F432" s="4">
        <v>3897600</v>
      </c>
      <c r="G432" s="4">
        <v>3681900</v>
      </c>
      <c r="H432" s="4">
        <v>110200</v>
      </c>
      <c r="I432" s="4">
        <v>24400</v>
      </c>
      <c r="J432" s="4">
        <v>126500</v>
      </c>
      <c r="K432" s="4">
        <v>884950</v>
      </c>
      <c r="L432" s="4">
        <v>930500</v>
      </c>
      <c r="M432" s="4">
        <f>Tabla1[[#This Row],[BASE DEL DIA]]+Tabla1[[#This Row],[ENTREGAS]]+Tabla1[[#This Row],[TARJETAS]]+Tabla1[[#This Row],[NEQUI O QR]]+Tabla1[[#This Row],[VENTAS FE.CREDITO]]-Tabla1[[#This Row],[VENTAS NETAS]]-Tabla1[[#This Row],[BASE ANTERIOR]]</f>
        <v>-150</v>
      </c>
    </row>
    <row r="433" spans="1:13" ht="13.5" customHeight="1" x14ac:dyDescent="0.2">
      <c r="A433" s="1">
        <v>6260</v>
      </c>
      <c r="B433" s="2">
        <v>45657</v>
      </c>
      <c r="C433" s="3" t="s">
        <v>106</v>
      </c>
      <c r="D433" s="1" t="s">
        <v>16</v>
      </c>
      <c r="E433" s="1" t="s">
        <v>23</v>
      </c>
      <c r="F433" s="4">
        <v>10406200</v>
      </c>
      <c r="G433" s="4">
        <v>9334200</v>
      </c>
      <c r="H433" s="4">
        <v>880900</v>
      </c>
      <c r="I433" s="4">
        <v>339300</v>
      </c>
      <c r="J433" s="4">
        <v>24000</v>
      </c>
      <c r="K433" s="4">
        <v>830500</v>
      </c>
      <c r="L433" s="4">
        <v>1001050</v>
      </c>
      <c r="M433" s="4">
        <f>Tabla1[[#This Row],[BASE DEL DIA]]+Tabla1[[#This Row],[ENTREGAS]]+Tabla1[[#This Row],[TARJETAS]]+Tabla1[[#This Row],[NEQUI O QR]]+Tabla1[[#This Row],[VENTAS FE.CREDITO]]-Tabla1[[#This Row],[VENTAS NETAS]]-Tabla1[[#This Row],[BASE ANTERIOR]]</f>
        <v>1650</v>
      </c>
    </row>
    <row r="434" spans="1:13" ht="13.5" customHeight="1" x14ac:dyDescent="0.2">
      <c r="A434" s="1">
        <v>6259</v>
      </c>
      <c r="B434" s="2">
        <v>45657</v>
      </c>
      <c r="C434" s="3" t="s">
        <v>168</v>
      </c>
      <c r="D434" s="1" t="s">
        <v>16</v>
      </c>
      <c r="E434" s="1" t="s">
        <v>22</v>
      </c>
      <c r="F434" s="4">
        <v>6559600</v>
      </c>
      <c r="G434" s="4">
        <v>6103900</v>
      </c>
      <c r="H434" s="4">
        <v>461200</v>
      </c>
      <c r="I434" s="4">
        <v>15200</v>
      </c>
      <c r="J434" s="4">
        <v>0</v>
      </c>
      <c r="K434" s="4">
        <v>1001050</v>
      </c>
      <c r="L434" s="4">
        <v>1020400</v>
      </c>
      <c r="M434" s="4">
        <f>Tabla1[[#This Row],[BASE DEL DIA]]+Tabla1[[#This Row],[ENTREGAS]]+Tabla1[[#This Row],[TARJETAS]]+Tabla1[[#This Row],[NEQUI O QR]]+Tabla1[[#This Row],[VENTAS FE.CREDITO]]-Tabla1[[#This Row],[VENTAS NETAS]]-Tabla1[[#This Row],[BASE ANTERIOR]]</f>
        <v>1350</v>
      </c>
    </row>
    <row r="435" spans="1:13" ht="13.5" customHeight="1" x14ac:dyDescent="0.2">
      <c r="A435" s="1">
        <v>6258</v>
      </c>
      <c r="B435" s="2">
        <v>45657</v>
      </c>
      <c r="C435" s="3" t="s">
        <v>167</v>
      </c>
      <c r="D435" s="1" t="s">
        <v>18</v>
      </c>
      <c r="E435" s="1" t="s">
        <v>23</v>
      </c>
      <c r="F435" s="4">
        <v>5053400</v>
      </c>
      <c r="G435" s="4">
        <v>4233600</v>
      </c>
      <c r="H435" s="4">
        <v>562000</v>
      </c>
      <c r="I435" s="4">
        <v>90300</v>
      </c>
      <c r="J435" s="4">
        <v>0</v>
      </c>
      <c r="K435" s="4">
        <v>1020400</v>
      </c>
      <c r="L435" s="4">
        <v>852050</v>
      </c>
      <c r="M435" s="4">
        <f>Tabla1[[#This Row],[BASE DEL DIA]]+Tabla1[[#This Row],[ENTREGAS]]+Tabla1[[#This Row],[TARJETAS]]+Tabla1[[#This Row],[NEQUI O QR]]+Tabla1[[#This Row],[VENTAS FE.CREDITO]]-Tabla1[[#This Row],[VENTAS NETAS]]-Tabla1[[#This Row],[BASE ANTERIOR]]</f>
        <v>850</v>
      </c>
    </row>
    <row r="436" spans="1:13" ht="13.5" customHeight="1" x14ac:dyDescent="0.2">
      <c r="A436" s="1">
        <v>6257</v>
      </c>
      <c r="B436" s="2">
        <v>45656</v>
      </c>
      <c r="C436" s="3" t="s">
        <v>162</v>
      </c>
      <c r="D436" s="1" t="s">
        <v>16</v>
      </c>
      <c r="E436" s="1" t="s">
        <v>22</v>
      </c>
      <c r="F436" s="4">
        <v>4142020</v>
      </c>
      <c r="G436" s="4">
        <v>4179600</v>
      </c>
      <c r="H436" s="4">
        <v>81700</v>
      </c>
      <c r="I436" s="4">
        <v>0</v>
      </c>
      <c r="J436" s="4">
        <v>1800</v>
      </c>
      <c r="K436" s="4">
        <v>852050</v>
      </c>
      <c r="L436" s="4">
        <v>966950</v>
      </c>
      <c r="M436" s="4">
        <f>Tabla1[[#This Row],[BASE DEL DIA]]+Tabla1[[#This Row],[ENTREGAS]]+Tabla1[[#This Row],[TARJETAS]]+Tabla1[[#This Row],[NEQUI O QR]]+Tabla1[[#This Row],[VENTAS FE.CREDITO]]-Tabla1[[#This Row],[VENTAS NETAS]]-Tabla1[[#This Row],[BASE ANTERIOR]]</f>
        <v>6180</v>
      </c>
    </row>
    <row r="437" spans="1:13" ht="13.5" customHeight="1" x14ac:dyDescent="0.2">
      <c r="A437" s="1">
        <v>6256</v>
      </c>
      <c r="B437" s="2">
        <v>45655</v>
      </c>
      <c r="C437" s="3" t="s">
        <v>154</v>
      </c>
      <c r="D437" s="1" t="s">
        <v>19</v>
      </c>
      <c r="E437" s="1" t="s">
        <v>23</v>
      </c>
      <c r="F437" s="4">
        <v>5169600</v>
      </c>
      <c r="G437" s="4">
        <v>4610000</v>
      </c>
      <c r="H437" s="4">
        <v>450200</v>
      </c>
      <c r="I437" s="4">
        <v>47800</v>
      </c>
      <c r="J437" s="4">
        <v>4300</v>
      </c>
      <c r="K437" s="4">
        <v>966950</v>
      </c>
      <c r="L437" s="4">
        <v>904500</v>
      </c>
      <c r="M437" s="4">
        <f>Tabla1[[#This Row],[BASE DEL DIA]]+Tabla1[[#This Row],[ENTREGAS]]+Tabla1[[#This Row],[TARJETAS]]+Tabla1[[#This Row],[NEQUI O QR]]+Tabla1[[#This Row],[VENTAS FE.CREDITO]]-Tabla1[[#This Row],[VENTAS NETAS]]-Tabla1[[#This Row],[BASE ANTERIOR]]</f>
        <v>5150</v>
      </c>
    </row>
    <row r="438" spans="1:13" ht="13.5" customHeight="1" x14ac:dyDescent="0.2">
      <c r="A438" s="1">
        <v>6255</v>
      </c>
      <c r="B438" s="2">
        <v>45655</v>
      </c>
      <c r="C438" s="3" t="s">
        <v>84</v>
      </c>
      <c r="D438" s="1" t="s">
        <v>17</v>
      </c>
      <c r="E438" s="1" t="s">
        <v>22</v>
      </c>
      <c r="F438" s="4">
        <v>2862200</v>
      </c>
      <c r="G438" s="4">
        <v>2753500</v>
      </c>
      <c r="H438" s="4">
        <v>136100</v>
      </c>
      <c r="I438" s="4">
        <v>3900</v>
      </c>
      <c r="J438" s="4">
        <v>0</v>
      </c>
      <c r="K438" s="4">
        <v>904500</v>
      </c>
      <c r="L438" s="4">
        <v>935600</v>
      </c>
      <c r="M438" s="4">
        <f>Tabla1[[#This Row],[BASE DEL DIA]]+Tabla1[[#This Row],[ENTREGAS]]+Tabla1[[#This Row],[TARJETAS]]+Tabla1[[#This Row],[NEQUI O QR]]+Tabla1[[#This Row],[VENTAS FE.CREDITO]]-Tabla1[[#This Row],[VENTAS NETAS]]-Tabla1[[#This Row],[BASE ANTERIOR]]</f>
        <v>200</v>
      </c>
    </row>
    <row r="439" spans="1:13" ht="13.5" customHeight="1" x14ac:dyDescent="0.2">
      <c r="A439" s="1">
        <v>6254</v>
      </c>
      <c r="B439" s="2">
        <v>45654</v>
      </c>
      <c r="C439" s="3" t="s">
        <v>96</v>
      </c>
      <c r="D439" s="1" t="s">
        <v>17</v>
      </c>
      <c r="E439" s="1" t="s">
        <v>23</v>
      </c>
      <c r="F439" s="4">
        <v>3918600</v>
      </c>
      <c r="G439" s="4">
        <v>3670000</v>
      </c>
      <c r="H439" s="4">
        <v>177700</v>
      </c>
      <c r="I439" s="4">
        <v>75000</v>
      </c>
      <c r="J439" s="4">
        <v>17300</v>
      </c>
      <c r="K439" s="4">
        <v>935600</v>
      </c>
      <c r="L439" s="4">
        <v>955550</v>
      </c>
      <c r="M439" s="4">
        <f>Tabla1[[#This Row],[BASE DEL DIA]]+Tabla1[[#This Row],[ENTREGAS]]+Tabla1[[#This Row],[TARJETAS]]+Tabla1[[#This Row],[NEQUI O QR]]+Tabla1[[#This Row],[VENTAS FE.CREDITO]]-Tabla1[[#This Row],[VENTAS NETAS]]-Tabla1[[#This Row],[BASE ANTERIOR]]</f>
        <v>1450</v>
      </c>
    </row>
    <row r="440" spans="1:13" ht="13.5" customHeight="1" x14ac:dyDescent="0.2">
      <c r="A440" s="1">
        <v>6253</v>
      </c>
      <c r="B440" s="2">
        <v>45654</v>
      </c>
      <c r="C440" s="3" t="s">
        <v>80</v>
      </c>
      <c r="D440" s="1" t="s">
        <v>19</v>
      </c>
      <c r="E440" s="1" t="s">
        <v>22</v>
      </c>
      <c r="F440" s="4">
        <v>3709300</v>
      </c>
      <c r="G440" s="4">
        <v>3390000</v>
      </c>
      <c r="H440" s="4">
        <v>205500</v>
      </c>
      <c r="I440" s="4">
        <v>5000</v>
      </c>
      <c r="J440" s="4">
        <v>0</v>
      </c>
      <c r="K440" s="4">
        <v>955550</v>
      </c>
      <c r="L440" s="4">
        <v>846200</v>
      </c>
      <c r="M440" s="4">
        <f>Tabla1[[#This Row],[BASE DEL DIA]]+Tabla1[[#This Row],[ENTREGAS]]+Tabla1[[#This Row],[TARJETAS]]+Tabla1[[#This Row],[NEQUI O QR]]+Tabla1[[#This Row],[VENTAS FE.CREDITO]]-Tabla1[[#This Row],[VENTAS NETAS]]-Tabla1[[#This Row],[BASE ANTERIOR]]</f>
        <v>550</v>
      </c>
    </row>
    <row r="441" spans="1:13" ht="13.5" customHeight="1" x14ac:dyDescent="0.2">
      <c r="A441" s="1">
        <v>6252</v>
      </c>
      <c r="B441" s="2">
        <v>45653</v>
      </c>
      <c r="C441" s="3" t="s">
        <v>83</v>
      </c>
      <c r="D441" s="1" t="s">
        <v>19</v>
      </c>
      <c r="E441" s="1" t="s">
        <v>23</v>
      </c>
      <c r="F441" s="4">
        <v>4432500</v>
      </c>
      <c r="G441" s="4">
        <v>4260000</v>
      </c>
      <c r="H441" s="4">
        <v>184100</v>
      </c>
      <c r="I441" s="4">
        <v>40900</v>
      </c>
      <c r="J441" s="4">
        <v>5500</v>
      </c>
      <c r="K441" s="4">
        <v>846200</v>
      </c>
      <c r="L441" s="4">
        <v>854600</v>
      </c>
      <c r="M441" s="4">
        <f>Tabla1[[#This Row],[BASE DEL DIA]]+Tabla1[[#This Row],[ENTREGAS]]+Tabla1[[#This Row],[TARJETAS]]+Tabla1[[#This Row],[NEQUI O QR]]+Tabla1[[#This Row],[VENTAS FE.CREDITO]]-Tabla1[[#This Row],[VENTAS NETAS]]-Tabla1[[#This Row],[BASE ANTERIOR]]</f>
        <v>49600</v>
      </c>
    </row>
    <row r="442" spans="1:13" ht="13.5" customHeight="1" x14ac:dyDescent="0.2">
      <c r="A442" s="1">
        <v>6251</v>
      </c>
      <c r="B442" s="2">
        <v>45653</v>
      </c>
      <c r="C442" s="3" t="s">
        <v>140</v>
      </c>
      <c r="D442" s="1" t="s">
        <v>17</v>
      </c>
      <c r="E442" s="1" t="s">
        <v>22</v>
      </c>
      <c r="F442" s="4">
        <v>2358800</v>
      </c>
      <c r="G442" s="4">
        <v>2320000</v>
      </c>
      <c r="H442" s="4">
        <v>102500</v>
      </c>
      <c r="I442" s="4">
        <v>36800</v>
      </c>
      <c r="J442" s="4">
        <v>0</v>
      </c>
      <c r="K442" s="4">
        <v>854600</v>
      </c>
      <c r="L442" s="4">
        <v>954200</v>
      </c>
      <c r="M442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443" spans="1:13" ht="13.5" customHeight="1" x14ac:dyDescent="0.2">
      <c r="A443" s="1">
        <v>6250</v>
      </c>
      <c r="B443" s="2">
        <v>45652</v>
      </c>
      <c r="C443" s="3" t="s">
        <v>40</v>
      </c>
      <c r="D443" s="1" t="s">
        <v>17</v>
      </c>
      <c r="E443" s="1" t="s">
        <v>23</v>
      </c>
      <c r="F443" s="4">
        <v>3402300</v>
      </c>
      <c r="G443" s="4">
        <v>3336600</v>
      </c>
      <c r="H443" s="4">
        <v>95100</v>
      </c>
      <c r="I443" s="4">
        <v>24100</v>
      </c>
      <c r="K443" s="4">
        <v>954200</v>
      </c>
      <c r="L443" s="4">
        <v>1007250</v>
      </c>
      <c r="M443" s="4">
        <f>Tabla1[[#This Row],[BASE DEL DIA]]+Tabla1[[#This Row],[ENTREGAS]]+Tabla1[[#This Row],[TARJETAS]]+Tabla1[[#This Row],[NEQUI O QR]]+Tabla1[[#This Row],[VENTAS FE.CREDITO]]-Tabla1[[#This Row],[VENTAS NETAS]]-Tabla1[[#This Row],[BASE ANTERIOR]]</f>
        <v>450</v>
      </c>
    </row>
    <row r="444" spans="1:13" ht="13.5" customHeight="1" x14ac:dyDescent="0.2">
      <c r="A444" s="1">
        <v>6249</v>
      </c>
      <c r="B444" s="2">
        <v>45652</v>
      </c>
      <c r="C444" s="3" t="s">
        <v>67</v>
      </c>
      <c r="D444" s="1" t="s">
        <v>19</v>
      </c>
      <c r="E444" s="1" t="s">
        <v>22</v>
      </c>
      <c r="F444" s="4">
        <v>2599000</v>
      </c>
      <c r="G444" s="4">
        <v>2205050</v>
      </c>
      <c r="H444" s="4">
        <v>156300</v>
      </c>
      <c r="I444" s="4">
        <v>15600</v>
      </c>
      <c r="J444" s="4">
        <v>0</v>
      </c>
      <c r="K444" s="4">
        <v>1007250</v>
      </c>
      <c r="L444" s="4">
        <v>784500</v>
      </c>
      <c r="M444" s="4">
        <f>Tabla1[[#This Row],[BASE DEL DIA]]+Tabla1[[#This Row],[ENTREGAS]]+Tabla1[[#This Row],[TARJETAS]]+Tabla1[[#This Row],[NEQUI O QR]]+Tabla1[[#This Row],[VENTAS FE.CREDITO]]-Tabla1[[#This Row],[VENTAS NETAS]]-Tabla1[[#This Row],[BASE ANTERIOR]]</f>
        <v>700</v>
      </c>
    </row>
    <row r="445" spans="1:13" ht="13.5" customHeight="1" x14ac:dyDescent="0.2">
      <c r="A445" s="1">
        <v>6248</v>
      </c>
      <c r="B445" s="2">
        <v>45651</v>
      </c>
      <c r="C445" s="3" t="s">
        <v>166</v>
      </c>
      <c r="D445" s="1" t="s">
        <v>19</v>
      </c>
      <c r="E445" s="1" t="s">
        <v>23</v>
      </c>
      <c r="F445" s="4">
        <v>2184700</v>
      </c>
      <c r="G445" s="4">
        <v>2189400</v>
      </c>
      <c r="H445" s="4">
        <v>144800</v>
      </c>
      <c r="I445" s="4">
        <v>0</v>
      </c>
      <c r="J445" s="4">
        <v>0</v>
      </c>
      <c r="K445" s="4">
        <v>784500</v>
      </c>
      <c r="L445" s="4">
        <v>926150</v>
      </c>
      <c r="M445" s="4">
        <f>Tabla1[[#This Row],[BASE DEL DIA]]+Tabla1[[#This Row],[ENTREGAS]]+Tabla1[[#This Row],[TARJETAS]]+Tabla1[[#This Row],[NEQUI O QR]]+Tabla1[[#This Row],[VENTAS FE.CREDITO]]-Tabla1[[#This Row],[VENTAS NETAS]]-Tabla1[[#This Row],[BASE ANTERIOR]]</f>
        <v>7850</v>
      </c>
    </row>
    <row r="446" spans="1:13" ht="13.5" customHeight="1" x14ac:dyDescent="0.2">
      <c r="A446" s="1">
        <v>6247</v>
      </c>
      <c r="B446" s="2">
        <v>45651</v>
      </c>
      <c r="C446" s="3" t="s">
        <v>116</v>
      </c>
      <c r="D446" s="1" t="s">
        <v>17</v>
      </c>
      <c r="E446" s="1" t="s">
        <v>22</v>
      </c>
      <c r="F446" s="4">
        <v>4988049</v>
      </c>
      <c r="G446" s="4">
        <v>4353900</v>
      </c>
      <c r="H446" s="4">
        <v>414500</v>
      </c>
      <c r="I446" s="4">
        <v>158300</v>
      </c>
      <c r="J446" s="4">
        <v>0</v>
      </c>
      <c r="K446" s="4">
        <v>926150</v>
      </c>
      <c r="L446" s="4">
        <v>862050</v>
      </c>
      <c r="M446" s="4">
        <f>Tabla1[[#This Row],[BASE DEL DIA]]+Tabla1[[#This Row],[ENTREGAS]]+Tabla1[[#This Row],[TARJETAS]]+Tabla1[[#This Row],[NEQUI O QR]]+Tabla1[[#This Row],[VENTAS FE.CREDITO]]-Tabla1[[#This Row],[VENTAS NETAS]]-Tabla1[[#This Row],[BASE ANTERIOR]]</f>
        <v>2751</v>
      </c>
    </row>
    <row r="447" spans="1:13" ht="13.5" customHeight="1" x14ac:dyDescent="0.2">
      <c r="A447" s="1">
        <v>6246</v>
      </c>
      <c r="B447" s="2">
        <v>45650</v>
      </c>
      <c r="C447" s="3" t="s">
        <v>106</v>
      </c>
      <c r="D447" s="1" t="s">
        <v>17</v>
      </c>
      <c r="E447" s="1" t="s">
        <v>23</v>
      </c>
      <c r="F447" s="4">
        <v>6497800</v>
      </c>
      <c r="G447" s="4">
        <v>5910000</v>
      </c>
      <c r="H447" s="4">
        <v>710500</v>
      </c>
      <c r="I447" s="4">
        <v>0</v>
      </c>
      <c r="J447" s="4">
        <v>5800</v>
      </c>
      <c r="K447" s="4">
        <v>862050</v>
      </c>
      <c r="L447" s="4">
        <v>986000</v>
      </c>
      <c r="M447" s="4">
        <f>Tabla1[[#This Row],[BASE DEL DIA]]+Tabla1[[#This Row],[ENTREGAS]]+Tabla1[[#This Row],[TARJETAS]]+Tabla1[[#This Row],[NEQUI O QR]]+Tabla1[[#This Row],[VENTAS FE.CREDITO]]-Tabla1[[#This Row],[VENTAS NETAS]]-Tabla1[[#This Row],[BASE ANTERIOR]]</f>
        <v>4550</v>
      </c>
    </row>
    <row r="448" spans="1:13" ht="13.5" customHeight="1" x14ac:dyDescent="0.2">
      <c r="A448" s="1">
        <v>6245</v>
      </c>
      <c r="B448" s="2">
        <v>45650</v>
      </c>
      <c r="C448" s="3" t="s">
        <v>151</v>
      </c>
      <c r="D448" s="1" t="s">
        <v>19</v>
      </c>
      <c r="E448" s="1" t="s">
        <v>22</v>
      </c>
      <c r="F448" s="4">
        <v>4634600</v>
      </c>
      <c r="G448" s="4">
        <v>3950000</v>
      </c>
      <c r="H448" s="4">
        <v>344700</v>
      </c>
      <c r="I448" s="4">
        <v>166900</v>
      </c>
      <c r="J448" s="4">
        <v>0</v>
      </c>
      <c r="K448" s="4">
        <v>986000</v>
      </c>
      <c r="L448" s="4">
        <v>811200</v>
      </c>
      <c r="M448" s="4">
        <f>Tabla1[[#This Row],[BASE DEL DIA]]+Tabla1[[#This Row],[ENTREGAS]]+Tabla1[[#This Row],[TARJETAS]]+Tabla1[[#This Row],[NEQUI O QR]]+Tabla1[[#This Row],[VENTAS FE.CREDITO]]-Tabla1[[#This Row],[VENTAS NETAS]]-Tabla1[[#This Row],[BASE ANTERIOR]]</f>
        <v>1800</v>
      </c>
    </row>
    <row r="449" spans="1:13" ht="13.5" customHeight="1" x14ac:dyDescent="0.2">
      <c r="A449" s="1">
        <v>6244</v>
      </c>
      <c r="B449" s="2">
        <v>45649</v>
      </c>
      <c r="C449" s="3" t="s">
        <v>40</v>
      </c>
      <c r="D449" s="1" t="s">
        <v>19</v>
      </c>
      <c r="E449" s="1" t="s">
        <v>23</v>
      </c>
      <c r="F449" s="4">
        <v>5415700</v>
      </c>
      <c r="G449" s="4">
        <v>4815000</v>
      </c>
      <c r="H449" s="4">
        <v>607700</v>
      </c>
      <c r="I449" s="4">
        <v>0</v>
      </c>
      <c r="J449" s="4">
        <v>56300</v>
      </c>
      <c r="K449" s="4">
        <v>811200</v>
      </c>
      <c r="L449" s="4">
        <v>873650</v>
      </c>
      <c r="M449" s="4">
        <f>Tabla1[[#This Row],[BASE DEL DIA]]+Tabla1[[#This Row],[ENTREGAS]]+Tabla1[[#This Row],[TARJETAS]]+Tabla1[[#This Row],[NEQUI O QR]]+Tabla1[[#This Row],[VENTAS FE.CREDITO]]-Tabla1[[#This Row],[VENTAS NETAS]]-Tabla1[[#This Row],[BASE ANTERIOR]]</f>
        <v>850</v>
      </c>
    </row>
    <row r="450" spans="1:13" ht="13.5" customHeight="1" x14ac:dyDescent="0.2">
      <c r="A450" s="1">
        <v>6243</v>
      </c>
      <c r="B450" s="2">
        <v>45649</v>
      </c>
      <c r="C450" s="3" t="s">
        <v>155</v>
      </c>
      <c r="D450" s="1" t="s">
        <v>17</v>
      </c>
      <c r="E450" s="1" t="s">
        <v>22</v>
      </c>
      <c r="F450" s="4">
        <v>2864400</v>
      </c>
      <c r="G450" s="4">
        <v>2704000</v>
      </c>
      <c r="H450" s="4">
        <v>52800</v>
      </c>
      <c r="I450" s="4">
        <v>23000</v>
      </c>
      <c r="J450" s="4">
        <v>0</v>
      </c>
      <c r="K450" s="4">
        <v>873650</v>
      </c>
      <c r="L450" s="4">
        <v>805550</v>
      </c>
      <c r="M450" s="4">
        <f>Tabla1[[#This Row],[BASE DEL DIA]]+Tabla1[[#This Row],[ENTREGAS]]+Tabla1[[#This Row],[TARJETAS]]+Tabla1[[#This Row],[NEQUI O QR]]+Tabla1[[#This Row],[VENTAS FE.CREDITO]]-Tabla1[[#This Row],[VENTAS NETAS]]-Tabla1[[#This Row],[BASE ANTERIOR]]</f>
        <v>-16500</v>
      </c>
    </row>
    <row r="451" spans="1:13" ht="13.5" customHeight="1" x14ac:dyDescent="0.2">
      <c r="B451" s="2">
        <v>45648</v>
      </c>
      <c r="C451" s="3" t="s">
        <v>107</v>
      </c>
      <c r="D451" s="1" t="s">
        <v>18</v>
      </c>
      <c r="E451" s="1" t="s">
        <v>22</v>
      </c>
      <c r="F451" s="4">
        <v>5165300</v>
      </c>
      <c r="G451" s="4">
        <v>4790000</v>
      </c>
      <c r="H451" s="4">
        <v>241000</v>
      </c>
      <c r="I451" s="4">
        <v>138700</v>
      </c>
      <c r="J451" s="4">
        <v>60600</v>
      </c>
      <c r="K451" s="4">
        <v>805550</v>
      </c>
      <c r="L451" s="4">
        <v>891250</v>
      </c>
      <c r="M451" s="4">
        <f>Tabla1[[#This Row],[BASE DEL DIA]]+Tabla1[[#This Row],[ENTREGAS]]+Tabla1[[#This Row],[TARJETAS]]+Tabla1[[#This Row],[NEQUI O QR]]+Tabla1[[#This Row],[VENTAS FE.CREDITO]]-Tabla1[[#This Row],[VENTAS NETAS]]-Tabla1[[#This Row],[BASE ANTERIOR]]</f>
        <v>-20700</v>
      </c>
    </row>
    <row r="452" spans="1:13" ht="13.5" customHeight="1" x14ac:dyDescent="0.2">
      <c r="A452" s="1">
        <v>6241</v>
      </c>
      <c r="B452" s="2">
        <v>45648</v>
      </c>
      <c r="C452" s="3" t="s">
        <v>77</v>
      </c>
      <c r="D452" s="1" t="s">
        <v>18</v>
      </c>
      <c r="E452" s="1" t="s">
        <v>22</v>
      </c>
      <c r="F452" s="4">
        <v>4706100</v>
      </c>
      <c r="G452" s="4">
        <v>4640000</v>
      </c>
      <c r="H452" s="4">
        <v>90000</v>
      </c>
      <c r="I452" s="4">
        <v>34100</v>
      </c>
      <c r="J452" s="4">
        <v>17100</v>
      </c>
      <c r="K452" s="4">
        <v>891250</v>
      </c>
      <c r="L452" s="4">
        <v>965900</v>
      </c>
      <c r="M452" s="4">
        <f>Tabla1[[#This Row],[BASE DEL DIA]]+Tabla1[[#This Row],[ENTREGAS]]+Tabla1[[#This Row],[TARJETAS]]+Tabla1[[#This Row],[NEQUI O QR]]+Tabla1[[#This Row],[VENTAS FE.CREDITO]]-Tabla1[[#This Row],[VENTAS NETAS]]-Tabla1[[#This Row],[BASE ANTERIOR]]</f>
        <v>450</v>
      </c>
    </row>
    <row r="453" spans="1:13" ht="13.5" customHeight="1" x14ac:dyDescent="0.2">
      <c r="A453" s="1">
        <v>6240</v>
      </c>
      <c r="B453" s="2">
        <v>45647</v>
      </c>
      <c r="C453" s="3" t="s">
        <v>154</v>
      </c>
      <c r="D453" s="1" t="s">
        <v>16</v>
      </c>
      <c r="E453" s="1" t="s">
        <v>23</v>
      </c>
      <c r="F453" s="4">
        <v>5619950</v>
      </c>
      <c r="G453" s="4">
        <v>5280000</v>
      </c>
      <c r="H453" s="4">
        <v>369000</v>
      </c>
      <c r="I453" s="4">
        <v>33300</v>
      </c>
      <c r="J453" s="4">
        <v>7800</v>
      </c>
      <c r="K453" s="4">
        <v>965900</v>
      </c>
      <c r="L453" s="4">
        <v>1034500</v>
      </c>
      <c r="M453" s="4">
        <f>Tabla1[[#This Row],[BASE DEL DIA]]+Tabla1[[#This Row],[ENTREGAS]]+Tabla1[[#This Row],[TARJETAS]]+Tabla1[[#This Row],[NEQUI O QR]]+Tabla1[[#This Row],[VENTAS FE.CREDITO]]-Tabla1[[#This Row],[VENTAS NETAS]]-Tabla1[[#This Row],[BASE ANTERIOR]]</f>
        <v>1550</v>
      </c>
    </row>
    <row r="454" spans="1:13" ht="13.5" customHeight="1" x14ac:dyDescent="0.2">
      <c r="A454" s="1">
        <v>6239</v>
      </c>
      <c r="B454" s="2">
        <v>45647</v>
      </c>
      <c r="C454" s="3" t="s">
        <v>53</v>
      </c>
      <c r="D454" s="1" t="s">
        <v>18</v>
      </c>
      <c r="E454" s="1" t="s">
        <v>22</v>
      </c>
      <c r="F454" s="4">
        <v>3281500</v>
      </c>
      <c r="G454" s="4">
        <v>3028900</v>
      </c>
      <c r="H454" s="4">
        <v>124700</v>
      </c>
      <c r="I454" s="4">
        <v>14200</v>
      </c>
      <c r="K454" s="4">
        <v>1034500</v>
      </c>
      <c r="L454" s="4">
        <v>919300</v>
      </c>
      <c r="M454" s="4">
        <f>Tabla1[[#This Row],[BASE DEL DIA]]+Tabla1[[#This Row],[ENTREGAS]]+Tabla1[[#This Row],[TARJETAS]]+Tabla1[[#This Row],[NEQUI O QR]]+Tabla1[[#This Row],[VENTAS FE.CREDITO]]-Tabla1[[#This Row],[VENTAS NETAS]]-Tabla1[[#This Row],[BASE ANTERIOR]]</f>
        <v>1500</v>
      </c>
    </row>
    <row r="455" spans="1:13" ht="13.5" customHeight="1" x14ac:dyDescent="0.2">
      <c r="A455" s="1">
        <v>6238</v>
      </c>
      <c r="B455" s="2">
        <v>45646</v>
      </c>
      <c r="C455" s="3" t="s">
        <v>66</v>
      </c>
      <c r="D455" s="1" t="s">
        <v>18</v>
      </c>
      <c r="E455" s="1" t="s">
        <v>23</v>
      </c>
      <c r="F455" s="4">
        <v>4772100</v>
      </c>
      <c r="G455" s="4">
        <v>4280000</v>
      </c>
      <c r="H455" s="4">
        <v>456300</v>
      </c>
      <c r="I455" s="4">
        <v>22600</v>
      </c>
      <c r="J455" s="4">
        <v>57400</v>
      </c>
      <c r="K455" s="4">
        <v>919300</v>
      </c>
      <c r="L455" s="4">
        <v>965500</v>
      </c>
      <c r="M455" s="4">
        <f>Tabla1[[#This Row],[BASE DEL DIA]]+Tabla1[[#This Row],[ENTREGAS]]+Tabla1[[#This Row],[TARJETAS]]+Tabla1[[#This Row],[NEQUI O QR]]+Tabla1[[#This Row],[VENTAS FE.CREDITO]]-Tabla1[[#This Row],[VENTAS NETAS]]-Tabla1[[#This Row],[BASE ANTERIOR]]</f>
        <v>-2000</v>
      </c>
    </row>
    <row r="456" spans="1:13" ht="13.5" customHeight="1" x14ac:dyDescent="0.2">
      <c r="A456" s="1">
        <v>6237</v>
      </c>
      <c r="B456" s="2">
        <v>45646</v>
      </c>
      <c r="C456" s="3" t="s">
        <v>140</v>
      </c>
      <c r="D456" s="1" t="s">
        <v>16</v>
      </c>
      <c r="E456" s="1" t="s">
        <v>22</v>
      </c>
      <c r="F456" s="4">
        <v>2935300</v>
      </c>
      <c r="G456" s="4">
        <v>2991000</v>
      </c>
      <c r="H456" s="4">
        <v>67200</v>
      </c>
      <c r="I456" s="4">
        <v>0</v>
      </c>
      <c r="J456" s="4">
        <v>7000</v>
      </c>
      <c r="K456" s="4">
        <v>965500</v>
      </c>
      <c r="L456" s="4">
        <v>1095100</v>
      </c>
      <c r="M456" s="4">
        <f>Tabla1[[#This Row],[BASE DEL DIA]]+Tabla1[[#This Row],[ENTREGAS]]+Tabla1[[#This Row],[TARJETAS]]+Tabla1[[#This Row],[NEQUI O QR]]+Tabla1[[#This Row],[VENTAS FE.CREDITO]]-Tabla1[[#This Row],[VENTAS NETAS]]-Tabla1[[#This Row],[BASE ANTERIOR]]</f>
        <v>300</v>
      </c>
    </row>
    <row r="457" spans="1:13" ht="13.5" customHeight="1" x14ac:dyDescent="0.2">
      <c r="A457" s="1">
        <v>6236</v>
      </c>
      <c r="B457" s="2">
        <v>45645</v>
      </c>
      <c r="C457" s="3" t="s">
        <v>105</v>
      </c>
      <c r="D457" s="1" t="s">
        <v>16</v>
      </c>
      <c r="E457" s="1" t="s">
        <v>23</v>
      </c>
      <c r="F457" s="4">
        <v>3966500</v>
      </c>
      <c r="G457" s="4">
        <v>3426100</v>
      </c>
      <c r="H457" s="4">
        <v>344800</v>
      </c>
      <c r="I457" s="4">
        <v>8000</v>
      </c>
      <c r="J457" s="4">
        <v>55600</v>
      </c>
      <c r="K457" s="4">
        <v>1095100</v>
      </c>
      <c r="L457" s="4">
        <v>956600</v>
      </c>
      <c r="M457" s="4">
        <f>Tabla1[[#This Row],[BASE DEL DIA]]+Tabla1[[#This Row],[ENTREGAS]]+Tabla1[[#This Row],[TARJETAS]]+Tabla1[[#This Row],[NEQUI O QR]]+Tabla1[[#This Row],[VENTAS FE.CREDITO]]-Tabla1[[#This Row],[VENTAS NETAS]]-Tabla1[[#This Row],[BASE ANTERIOR]]</f>
        <v>6500</v>
      </c>
    </row>
    <row r="458" spans="1:13" ht="13.5" customHeight="1" x14ac:dyDescent="0.2">
      <c r="A458" s="1">
        <v>6235</v>
      </c>
      <c r="B458" s="2">
        <v>45645</v>
      </c>
      <c r="C458" s="3" t="s">
        <v>151</v>
      </c>
      <c r="D458" s="1" t="s">
        <v>18</v>
      </c>
      <c r="E458" s="1" t="s">
        <v>22</v>
      </c>
      <c r="F458" s="4">
        <v>2965800</v>
      </c>
      <c r="G458" s="4">
        <v>2641400</v>
      </c>
      <c r="H458" s="4">
        <v>370700</v>
      </c>
      <c r="I458" s="4">
        <v>6700</v>
      </c>
      <c r="J458" s="4">
        <v>6200</v>
      </c>
      <c r="K458" s="4">
        <v>956600</v>
      </c>
      <c r="L458" s="4">
        <v>1014850</v>
      </c>
      <c r="M458" s="4">
        <f>Tabla1[[#This Row],[BASE DEL DIA]]+Tabla1[[#This Row],[ENTREGAS]]+Tabla1[[#This Row],[TARJETAS]]+Tabla1[[#This Row],[NEQUI O QR]]+Tabla1[[#This Row],[VENTAS FE.CREDITO]]-Tabla1[[#This Row],[VENTAS NETAS]]-Tabla1[[#This Row],[BASE ANTERIOR]]</f>
        <v>950</v>
      </c>
    </row>
    <row r="459" spans="1:13" ht="13.5" customHeight="1" x14ac:dyDescent="0.2">
      <c r="A459" s="1">
        <v>6233</v>
      </c>
      <c r="B459" s="2">
        <v>45644</v>
      </c>
      <c r="C459" s="3" t="s">
        <v>85</v>
      </c>
      <c r="D459" s="1" t="s">
        <v>18</v>
      </c>
      <c r="E459" s="1" t="s">
        <v>23</v>
      </c>
      <c r="F459" s="4">
        <v>4684100</v>
      </c>
      <c r="G459" s="4">
        <v>4250000</v>
      </c>
      <c r="H459" s="4">
        <v>277800</v>
      </c>
      <c r="I459" s="4">
        <v>24700</v>
      </c>
      <c r="J459" s="4">
        <v>26100</v>
      </c>
      <c r="K459" s="4">
        <v>1014850</v>
      </c>
      <c r="L459" s="4">
        <v>907050</v>
      </c>
      <c r="M459" s="4">
        <f>Tabla1[[#This Row],[BASE DEL DIA]]+Tabla1[[#This Row],[ENTREGAS]]+Tabla1[[#This Row],[TARJETAS]]+Tabla1[[#This Row],[NEQUI O QR]]+Tabla1[[#This Row],[VENTAS FE.CREDITO]]-Tabla1[[#This Row],[VENTAS NETAS]]-Tabla1[[#This Row],[BASE ANTERIOR]]</f>
        <v>2300</v>
      </c>
    </row>
    <row r="460" spans="1:13" ht="13.5" customHeight="1" x14ac:dyDescent="0.2">
      <c r="A460" s="1">
        <v>6232</v>
      </c>
      <c r="B460" s="2">
        <v>45644</v>
      </c>
      <c r="C460" s="3" t="s">
        <v>74</v>
      </c>
      <c r="D460" s="1" t="s">
        <v>16</v>
      </c>
      <c r="E460" s="1" t="s">
        <v>22</v>
      </c>
      <c r="F460" s="4">
        <v>3187300</v>
      </c>
      <c r="G460" s="4">
        <v>2564700</v>
      </c>
      <c r="H460" s="4">
        <v>133600</v>
      </c>
      <c r="I460" s="4">
        <v>334000</v>
      </c>
      <c r="J460" s="4">
        <v>0</v>
      </c>
      <c r="K460" s="4">
        <v>907050</v>
      </c>
      <c r="L460" s="4">
        <v>749300</v>
      </c>
      <c r="M460" s="4">
        <f>Tabla1[[#This Row],[BASE DEL DIA]]+Tabla1[[#This Row],[ENTREGAS]]+Tabla1[[#This Row],[TARJETAS]]+Tabla1[[#This Row],[NEQUI O QR]]+Tabla1[[#This Row],[VENTAS FE.CREDITO]]-Tabla1[[#This Row],[VENTAS NETAS]]-Tabla1[[#This Row],[BASE ANTERIOR]]</f>
        <v>2750</v>
      </c>
    </row>
    <row r="461" spans="1:13" ht="13.5" customHeight="1" x14ac:dyDescent="0.2">
      <c r="B461" s="2">
        <v>45643</v>
      </c>
      <c r="C461" s="3" t="s">
        <v>73</v>
      </c>
      <c r="D461" s="1" t="s">
        <v>18</v>
      </c>
      <c r="E461" s="1" t="s">
        <v>22</v>
      </c>
      <c r="F461" s="4">
        <v>4910250</v>
      </c>
      <c r="G461" s="4">
        <v>4189000</v>
      </c>
      <c r="H461" s="4">
        <v>848800</v>
      </c>
      <c r="I461" s="4">
        <v>40400</v>
      </c>
      <c r="J461" s="4">
        <v>11500</v>
      </c>
      <c r="K461" s="4">
        <v>749300</v>
      </c>
      <c r="L461" s="4">
        <v>929150</v>
      </c>
      <c r="M461" s="4">
        <f>Tabla1[[#This Row],[BASE DEL DIA]]+Tabla1[[#This Row],[ENTREGAS]]+Tabla1[[#This Row],[TARJETAS]]+Tabla1[[#This Row],[NEQUI O QR]]+Tabla1[[#This Row],[VENTAS FE.CREDITO]]-Tabla1[[#This Row],[VENTAS NETAS]]-Tabla1[[#This Row],[BASE ANTERIOR]]</f>
        <v>-400</v>
      </c>
    </row>
    <row r="462" spans="1:13" ht="13.5" customHeight="1" x14ac:dyDescent="0.2">
      <c r="A462" s="1">
        <v>6231</v>
      </c>
      <c r="B462" s="2">
        <v>45643</v>
      </c>
      <c r="C462" s="3" t="s">
        <v>57</v>
      </c>
      <c r="D462" s="1" t="s">
        <v>18</v>
      </c>
      <c r="E462" s="1" t="s">
        <v>22</v>
      </c>
      <c r="F462" s="4">
        <v>3772700</v>
      </c>
      <c r="G462" s="4">
        <v>3292350</v>
      </c>
      <c r="H462" s="4">
        <v>527700</v>
      </c>
      <c r="I462" s="4">
        <v>14000</v>
      </c>
      <c r="J462" s="4">
        <v>10600</v>
      </c>
      <c r="K462" s="4">
        <v>929150</v>
      </c>
      <c r="L462" s="4">
        <v>997100</v>
      </c>
      <c r="M462" s="4">
        <f>Tabla1[[#This Row],[BASE DEL DIA]]+Tabla1[[#This Row],[ENTREGAS]]+Tabla1[[#This Row],[TARJETAS]]+Tabla1[[#This Row],[NEQUI O QR]]+Tabla1[[#This Row],[VENTAS FE.CREDITO]]-Tabla1[[#This Row],[VENTAS NETAS]]-Tabla1[[#This Row],[BASE ANTERIOR]]</f>
        <v>4000</v>
      </c>
    </row>
    <row r="463" spans="1:13" ht="13.5" customHeight="1" x14ac:dyDescent="0.2">
      <c r="A463" s="1">
        <v>6230</v>
      </c>
      <c r="B463" s="2">
        <v>45642</v>
      </c>
      <c r="C463" s="3" t="s">
        <v>85</v>
      </c>
      <c r="D463" s="1" t="s">
        <v>18</v>
      </c>
      <c r="E463" s="1" t="s">
        <v>23</v>
      </c>
      <c r="F463" s="4">
        <v>5927400</v>
      </c>
      <c r="G463" s="4">
        <v>5125000</v>
      </c>
      <c r="H463" s="4">
        <v>626200</v>
      </c>
      <c r="I463" s="4">
        <v>95200</v>
      </c>
      <c r="J463" s="4">
        <v>7200</v>
      </c>
      <c r="K463" s="4">
        <v>997100</v>
      </c>
      <c r="L463" s="4">
        <v>922700</v>
      </c>
      <c r="M463" s="4">
        <f>Tabla1[[#This Row],[BASE DEL DIA]]+Tabla1[[#This Row],[ENTREGAS]]+Tabla1[[#This Row],[TARJETAS]]+Tabla1[[#This Row],[NEQUI O QR]]+Tabla1[[#This Row],[VENTAS FE.CREDITO]]-Tabla1[[#This Row],[VENTAS NETAS]]-Tabla1[[#This Row],[BASE ANTERIOR]]</f>
        <v>600</v>
      </c>
    </row>
    <row r="464" spans="1:13" ht="13.5" customHeight="1" x14ac:dyDescent="0.2">
      <c r="A464" s="1">
        <v>6229</v>
      </c>
      <c r="B464" s="2">
        <v>45642</v>
      </c>
      <c r="C464" s="3" t="s">
        <v>120</v>
      </c>
      <c r="D464" s="1" t="s">
        <v>16</v>
      </c>
      <c r="E464" s="1" t="s">
        <v>22</v>
      </c>
      <c r="F464" s="4">
        <v>2962650</v>
      </c>
      <c r="G464" s="4">
        <v>2210800</v>
      </c>
      <c r="H464" s="4">
        <v>80200</v>
      </c>
      <c r="I464" s="4">
        <v>375500</v>
      </c>
      <c r="J464" s="4">
        <v>9600</v>
      </c>
      <c r="K464" s="4">
        <v>922700</v>
      </c>
      <c r="L464" s="4">
        <v>635500</v>
      </c>
      <c r="M464" s="4">
        <f>Tabla1[[#This Row],[BASE DEL DIA]]+Tabla1[[#This Row],[ENTREGAS]]+Tabla1[[#This Row],[TARJETAS]]+Tabla1[[#This Row],[NEQUI O QR]]+Tabla1[[#This Row],[VENTAS FE.CREDITO]]-Tabla1[[#This Row],[VENTAS NETAS]]-Tabla1[[#This Row],[BASE ANTERIOR]]</f>
        <v>650</v>
      </c>
    </row>
    <row r="465" spans="1:13" ht="13.5" customHeight="1" x14ac:dyDescent="0.2">
      <c r="A465" s="1">
        <v>6228</v>
      </c>
      <c r="B465" s="2">
        <v>45641</v>
      </c>
      <c r="C465" s="3" t="s">
        <v>158</v>
      </c>
      <c r="D465" s="1" t="s">
        <v>19</v>
      </c>
      <c r="E465" s="1" t="s">
        <v>23</v>
      </c>
      <c r="F465" s="4">
        <v>5864300</v>
      </c>
      <c r="G465" s="4">
        <v>5680000</v>
      </c>
      <c r="H465" s="4">
        <v>358400</v>
      </c>
      <c r="I465" s="4">
        <v>97700</v>
      </c>
      <c r="J465" s="4">
        <v>5000</v>
      </c>
      <c r="K465" s="4">
        <v>635500</v>
      </c>
      <c r="L465" s="4">
        <v>912300</v>
      </c>
      <c r="M465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466" spans="1:13" ht="13.5" customHeight="1" x14ac:dyDescent="0.2">
      <c r="A466" s="1">
        <v>6227</v>
      </c>
      <c r="B466" s="2">
        <v>45641</v>
      </c>
      <c r="C466" s="3" t="s">
        <v>99</v>
      </c>
      <c r="D466" s="1" t="s">
        <v>17</v>
      </c>
      <c r="E466" s="1" t="s">
        <v>22</v>
      </c>
      <c r="F466" s="4">
        <v>4901300</v>
      </c>
      <c r="G466" s="4">
        <v>4598500</v>
      </c>
      <c r="H466" s="4">
        <v>195800</v>
      </c>
      <c r="I466" s="4">
        <v>75800</v>
      </c>
      <c r="J466" s="4">
        <v>0</v>
      </c>
      <c r="K466" s="4">
        <v>912300</v>
      </c>
      <c r="L466" s="4">
        <v>882600</v>
      </c>
      <c r="M466" s="4">
        <f>Tabla1[[#This Row],[BASE DEL DIA]]+Tabla1[[#This Row],[ENTREGAS]]+Tabla1[[#This Row],[TARJETAS]]+Tabla1[[#This Row],[NEQUI O QR]]+Tabla1[[#This Row],[VENTAS FE.CREDITO]]-Tabla1[[#This Row],[VENTAS NETAS]]-Tabla1[[#This Row],[BASE ANTERIOR]]</f>
        <v>-1500</v>
      </c>
    </row>
    <row r="467" spans="1:13" ht="13.5" customHeight="1" x14ac:dyDescent="0.2">
      <c r="A467" s="1">
        <v>6226</v>
      </c>
      <c r="B467" s="2">
        <v>45640</v>
      </c>
      <c r="C467" s="3" t="s">
        <v>63</v>
      </c>
      <c r="D467" s="1" t="s">
        <v>17</v>
      </c>
      <c r="E467" s="1" t="s">
        <v>23</v>
      </c>
      <c r="F467" s="4">
        <v>5116200</v>
      </c>
      <c r="G467" s="4">
        <v>4382000</v>
      </c>
      <c r="H467" s="4">
        <v>770900</v>
      </c>
      <c r="I467" s="4">
        <v>0</v>
      </c>
      <c r="J467" s="4">
        <v>7800</v>
      </c>
      <c r="K467" s="4">
        <v>882600</v>
      </c>
      <c r="L467" s="4">
        <v>920450</v>
      </c>
      <c r="M467" s="4">
        <f>Tabla1[[#This Row],[BASE DEL DIA]]+Tabla1[[#This Row],[ENTREGAS]]+Tabla1[[#This Row],[TARJETAS]]+Tabla1[[#This Row],[NEQUI O QR]]+Tabla1[[#This Row],[VENTAS FE.CREDITO]]-Tabla1[[#This Row],[VENTAS NETAS]]-Tabla1[[#This Row],[BASE ANTERIOR]]</f>
        <v>6650</v>
      </c>
    </row>
    <row r="468" spans="1:13" ht="13.5" customHeight="1" x14ac:dyDescent="0.2">
      <c r="A468" s="1">
        <v>6225</v>
      </c>
      <c r="B468" s="2">
        <v>45640</v>
      </c>
      <c r="C468" s="3" t="s">
        <v>140</v>
      </c>
      <c r="D468" s="1" t="s">
        <v>19</v>
      </c>
      <c r="E468" s="1" t="s">
        <v>22</v>
      </c>
      <c r="F468" s="4">
        <v>2773100</v>
      </c>
      <c r="G468" s="4">
        <v>2175000</v>
      </c>
      <c r="H468" s="4">
        <v>610400</v>
      </c>
      <c r="I468" s="4">
        <v>0</v>
      </c>
      <c r="J468" s="4">
        <v>10100</v>
      </c>
      <c r="K468" s="4">
        <v>920450</v>
      </c>
      <c r="L468" s="4">
        <v>934900</v>
      </c>
      <c r="M468" s="4">
        <f>Tabla1[[#This Row],[BASE DEL DIA]]+Tabla1[[#This Row],[ENTREGAS]]+Tabla1[[#This Row],[TARJETAS]]+Tabla1[[#This Row],[NEQUI O QR]]+Tabla1[[#This Row],[VENTAS FE.CREDITO]]-Tabla1[[#This Row],[VENTAS NETAS]]-Tabla1[[#This Row],[BASE ANTERIOR]]</f>
        <v>7950</v>
      </c>
    </row>
    <row r="469" spans="1:13" ht="13.5" customHeight="1" x14ac:dyDescent="0.2">
      <c r="A469" s="1">
        <v>6224</v>
      </c>
      <c r="B469" s="2">
        <v>45639</v>
      </c>
      <c r="C469" s="3" t="s">
        <v>106</v>
      </c>
      <c r="D469" s="1" t="s">
        <v>19</v>
      </c>
      <c r="E469" s="1" t="s">
        <v>23</v>
      </c>
      <c r="F469" s="4">
        <v>3196400</v>
      </c>
      <c r="G469" s="4">
        <v>2860000</v>
      </c>
      <c r="H469" s="4">
        <v>265600</v>
      </c>
      <c r="I469" s="4">
        <v>57500</v>
      </c>
      <c r="J469" s="4">
        <v>0</v>
      </c>
      <c r="K469" s="4">
        <v>934900</v>
      </c>
      <c r="L469" s="4">
        <v>924750</v>
      </c>
      <c r="M469" s="4">
        <f>Tabla1[[#This Row],[BASE DEL DIA]]+Tabla1[[#This Row],[ENTREGAS]]+Tabla1[[#This Row],[TARJETAS]]+Tabla1[[#This Row],[NEQUI O QR]]+Tabla1[[#This Row],[VENTAS FE.CREDITO]]-Tabla1[[#This Row],[VENTAS NETAS]]-Tabla1[[#This Row],[BASE ANTERIOR]]</f>
        <v>-3150</v>
      </c>
    </row>
    <row r="470" spans="1:13" ht="13.5" customHeight="1" x14ac:dyDescent="0.2">
      <c r="A470" s="1">
        <v>6223</v>
      </c>
      <c r="B470" s="2">
        <v>45639</v>
      </c>
      <c r="C470" s="3" t="s">
        <v>108</v>
      </c>
      <c r="D470" s="1" t="s">
        <v>17</v>
      </c>
      <c r="E470" s="1" t="s">
        <v>22</v>
      </c>
      <c r="F470" s="4">
        <v>1903900</v>
      </c>
      <c r="G470" s="4">
        <v>1775500</v>
      </c>
      <c r="H470" s="4">
        <v>23800</v>
      </c>
      <c r="I470" s="4">
        <v>8400</v>
      </c>
      <c r="J470" s="4">
        <v>3900</v>
      </c>
      <c r="K470" s="4">
        <v>924750</v>
      </c>
      <c r="L470" s="4">
        <v>827750</v>
      </c>
      <c r="M470" s="4">
        <f>Tabla1[[#This Row],[BASE DEL DIA]]+Tabla1[[#This Row],[ENTREGAS]]+Tabla1[[#This Row],[TARJETAS]]+Tabla1[[#This Row],[NEQUI O QR]]+Tabla1[[#This Row],[VENTAS FE.CREDITO]]-Tabla1[[#This Row],[VENTAS NETAS]]-Tabla1[[#This Row],[BASE ANTERIOR]]</f>
        <v>4700</v>
      </c>
    </row>
    <row r="471" spans="1:13" ht="13.5" customHeight="1" x14ac:dyDescent="0.2">
      <c r="A471" s="1">
        <v>6222</v>
      </c>
      <c r="B471" s="2">
        <v>45638</v>
      </c>
      <c r="C471" s="3" t="s">
        <v>85</v>
      </c>
      <c r="D471" s="1" t="s">
        <v>17</v>
      </c>
      <c r="E471" s="1" t="s">
        <v>23</v>
      </c>
      <c r="F471" s="4">
        <v>3511600</v>
      </c>
      <c r="G471" s="4">
        <v>3174000</v>
      </c>
      <c r="H471" s="4">
        <v>402600</v>
      </c>
      <c r="I471" s="4">
        <v>0</v>
      </c>
      <c r="K471" s="4">
        <v>827750</v>
      </c>
      <c r="L471" s="4">
        <v>894350</v>
      </c>
      <c r="M471" s="4">
        <f>Tabla1[[#This Row],[BASE DEL DIA]]+Tabla1[[#This Row],[ENTREGAS]]+Tabla1[[#This Row],[TARJETAS]]+Tabla1[[#This Row],[NEQUI O QR]]+Tabla1[[#This Row],[VENTAS FE.CREDITO]]-Tabla1[[#This Row],[VENTAS NETAS]]-Tabla1[[#This Row],[BASE ANTERIOR]]</f>
        <v>-1600</v>
      </c>
    </row>
    <row r="472" spans="1:13" ht="13.5" customHeight="1" x14ac:dyDescent="0.2">
      <c r="A472" s="1">
        <v>6221</v>
      </c>
      <c r="B472" s="2">
        <v>45638</v>
      </c>
      <c r="C472" s="3" t="s">
        <v>39</v>
      </c>
      <c r="D472" s="1" t="s">
        <v>19</v>
      </c>
      <c r="E472" s="1" t="s">
        <v>22</v>
      </c>
      <c r="F472" s="4">
        <v>2630400</v>
      </c>
      <c r="G472" s="4">
        <v>2596200</v>
      </c>
      <c r="H472" s="4">
        <v>18900</v>
      </c>
      <c r="I472" s="4">
        <v>5700</v>
      </c>
      <c r="J472" s="4">
        <v>0</v>
      </c>
      <c r="K472" s="4">
        <v>894350</v>
      </c>
      <c r="L472" s="4">
        <v>902350</v>
      </c>
      <c r="M472" s="4">
        <f>Tabla1[[#This Row],[BASE DEL DIA]]+Tabla1[[#This Row],[ENTREGAS]]+Tabla1[[#This Row],[TARJETAS]]+Tabla1[[#This Row],[NEQUI O QR]]+Tabla1[[#This Row],[VENTAS FE.CREDITO]]-Tabla1[[#This Row],[VENTAS NETAS]]-Tabla1[[#This Row],[BASE ANTERIOR]]</f>
        <v>-17600</v>
      </c>
    </row>
    <row r="473" spans="1:13" ht="13.5" customHeight="1" x14ac:dyDescent="0.2">
      <c r="A473" s="1">
        <v>6220</v>
      </c>
      <c r="B473" s="2">
        <v>45637</v>
      </c>
      <c r="C473" s="3" t="s">
        <v>106</v>
      </c>
      <c r="D473" s="1" t="s">
        <v>19</v>
      </c>
      <c r="E473" s="1" t="s">
        <v>23</v>
      </c>
      <c r="F473" s="4">
        <v>2810400</v>
      </c>
      <c r="G473" s="4">
        <v>2625000</v>
      </c>
      <c r="H473" s="4">
        <v>170700</v>
      </c>
      <c r="I473" s="4">
        <v>0</v>
      </c>
      <c r="J473" s="4">
        <v>23800</v>
      </c>
      <c r="K473" s="4">
        <v>902350</v>
      </c>
      <c r="L473" s="4">
        <v>893000</v>
      </c>
      <c r="M473" s="4">
        <f>Tabla1[[#This Row],[BASE DEL DIA]]+Tabla1[[#This Row],[ENTREGAS]]+Tabla1[[#This Row],[TARJETAS]]+Tabla1[[#This Row],[NEQUI O QR]]+Tabla1[[#This Row],[VENTAS FE.CREDITO]]-Tabla1[[#This Row],[VENTAS NETAS]]-Tabla1[[#This Row],[BASE ANTERIOR]]</f>
        <v>18450</v>
      </c>
    </row>
    <row r="474" spans="1:13" ht="13.5" customHeight="1" x14ac:dyDescent="0.2">
      <c r="A474" s="1">
        <v>6219</v>
      </c>
      <c r="B474" s="2">
        <v>45637</v>
      </c>
      <c r="C474" s="3" t="s">
        <v>151</v>
      </c>
      <c r="D474" s="1" t="s">
        <v>17</v>
      </c>
      <c r="E474" s="1" t="s">
        <v>22</v>
      </c>
      <c r="F474" s="4">
        <v>2050200</v>
      </c>
      <c r="G474" s="4">
        <v>1956200</v>
      </c>
      <c r="H474" s="4">
        <v>13400</v>
      </c>
      <c r="I474" s="4">
        <v>33200</v>
      </c>
      <c r="J474" s="4">
        <v>12700</v>
      </c>
      <c r="K474" s="4">
        <v>893000</v>
      </c>
      <c r="L474" s="4">
        <v>859700</v>
      </c>
      <c r="M474" s="4">
        <f>Tabla1[[#This Row],[BASE DEL DIA]]+Tabla1[[#This Row],[ENTREGAS]]+Tabla1[[#This Row],[TARJETAS]]+Tabla1[[#This Row],[NEQUI O QR]]+Tabla1[[#This Row],[VENTAS FE.CREDITO]]-Tabla1[[#This Row],[VENTAS NETAS]]-Tabla1[[#This Row],[BASE ANTERIOR]]</f>
        <v>-1400</v>
      </c>
    </row>
    <row r="475" spans="1:13" ht="13.5" customHeight="1" x14ac:dyDescent="0.2">
      <c r="A475" s="1">
        <v>6217</v>
      </c>
      <c r="B475" s="2">
        <v>45636</v>
      </c>
      <c r="C475" s="3" t="s">
        <v>54</v>
      </c>
      <c r="D475" s="1" t="s">
        <v>17</v>
      </c>
      <c r="E475" s="1" t="s">
        <v>23</v>
      </c>
      <c r="F475" s="4">
        <v>3846150</v>
      </c>
      <c r="G475" s="4">
        <v>3300000</v>
      </c>
      <c r="H475" s="4">
        <v>574900</v>
      </c>
      <c r="I475" s="4">
        <v>12400</v>
      </c>
      <c r="J475" s="4">
        <v>12200</v>
      </c>
      <c r="K475" s="4">
        <v>859700</v>
      </c>
      <c r="L475" s="4">
        <v>914300</v>
      </c>
      <c r="M475" s="4">
        <f>Tabla1[[#This Row],[BASE DEL DIA]]+Tabla1[[#This Row],[ENTREGAS]]+Tabla1[[#This Row],[TARJETAS]]+Tabla1[[#This Row],[NEQUI O QR]]+Tabla1[[#This Row],[VENTAS FE.CREDITO]]-Tabla1[[#This Row],[VENTAS NETAS]]-Tabla1[[#This Row],[BASE ANTERIOR]]</f>
        <v>-1250</v>
      </c>
    </row>
    <row r="476" spans="1:13" ht="13.5" customHeight="1" x14ac:dyDescent="0.2">
      <c r="A476" s="1">
        <v>6216</v>
      </c>
      <c r="B476" s="2">
        <v>45636</v>
      </c>
      <c r="C476" s="3" t="s">
        <v>59</v>
      </c>
      <c r="D476" s="1" t="s">
        <v>19</v>
      </c>
      <c r="E476" s="1" t="s">
        <v>22</v>
      </c>
      <c r="F476" s="4">
        <v>1931700</v>
      </c>
      <c r="G476" s="4">
        <v>1775000</v>
      </c>
      <c r="H476" s="4">
        <v>47500</v>
      </c>
      <c r="I476" s="4">
        <v>19700</v>
      </c>
      <c r="J476" s="4">
        <v>26500</v>
      </c>
      <c r="K476" s="4">
        <v>914300</v>
      </c>
      <c r="L476" s="4">
        <v>847100</v>
      </c>
      <c r="M476" s="4">
        <f>Tabla1[[#This Row],[BASE DEL DIA]]+Tabla1[[#This Row],[ENTREGAS]]+Tabla1[[#This Row],[TARJETAS]]+Tabla1[[#This Row],[NEQUI O QR]]+Tabla1[[#This Row],[VENTAS FE.CREDITO]]-Tabla1[[#This Row],[VENTAS NETAS]]-Tabla1[[#This Row],[BASE ANTERIOR]]</f>
        <v>4200</v>
      </c>
    </row>
    <row r="477" spans="1:13" ht="13.5" customHeight="1" x14ac:dyDescent="0.2">
      <c r="A477" s="1">
        <v>6215</v>
      </c>
      <c r="B477" s="2">
        <v>45635</v>
      </c>
      <c r="C477" s="3" t="s">
        <v>66</v>
      </c>
      <c r="D477" s="1" t="s">
        <v>19</v>
      </c>
      <c r="E477" s="1" t="s">
        <v>23</v>
      </c>
      <c r="F477" s="4">
        <v>3718100</v>
      </c>
      <c r="G477" s="4">
        <v>3240000</v>
      </c>
      <c r="H477" s="4">
        <v>354500</v>
      </c>
      <c r="I477" s="4">
        <v>25400</v>
      </c>
      <c r="J477" s="4">
        <v>20000</v>
      </c>
      <c r="K477" s="4">
        <v>847100</v>
      </c>
      <c r="L477" s="4">
        <v>773000</v>
      </c>
      <c r="M477" s="4">
        <f>Tabla1[[#This Row],[BASE DEL DIA]]+Tabla1[[#This Row],[ENTREGAS]]+Tabla1[[#This Row],[TARJETAS]]+Tabla1[[#This Row],[NEQUI O QR]]+Tabla1[[#This Row],[VENTAS FE.CREDITO]]-Tabla1[[#This Row],[VENTAS NETAS]]-Tabla1[[#This Row],[BASE ANTERIOR]]</f>
        <v>-4100</v>
      </c>
    </row>
    <row r="478" spans="1:13" ht="13.5" customHeight="1" x14ac:dyDescent="0.2">
      <c r="A478" s="1">
        <v>6214</v>
      </c>
      <c r="B478" s="2">
        <v>45635</v>
      </c>
      <c r="C478" s="3" t="s">
        <v>102</v>
      </c>
      <c r="D478" s="1" t="s">
        <v>17</v>
      </c>
      <c r="E478" s="1" t="s">
        <v>22</v>
      </c>
      <c r="F478" s="4">
        <v>2826100</v>
      </c>
      <c r="G478" s="4">
        <v>2924000</v>
      </c>
      <c r="H478" s="4">
        <v>95400</v>
      </c>
      <c r="I478" s="4">
        <v>0</v>
      </c>
      <c r="J478" s="4">
        <v>0</v>
      </c>
      <c r="K478" s="4">
        <v>773000</v>
      </c>
      <c r="L478" s="4">
        <v>965100</v>
      </c>
      <c r="M478" s="4">
        <f>Tabla1[[#This Row],[BASE DEL DIA]]+Tabla1[[#This Row],[ENTREGAS]]+Tabla1[[#This Row],[TARJETAS]]+Tabla1[[#This Row],[NEQUI O QR]]+Tabla1[[#This Row],[VENTAS FE.CREDITO]]-Tabla1[[#This Row],[VENTAS NETAS]]-Tabla1[[#This Row],[BASE ANTERIOR]]</f>
        <v>1200</v>
      </c>
    </row>
    <row r="479" spans="1:13" ht="13.5" customHeight="1" x14ac:dyDescent="0.2">
      <c r="A479" s="1">
        <v>6213</v>
      </c>
      <c r="B479" s="2">
        <v>45634</v>
      </c>
      <c r="C479" s="3" t="s">
        <v>165</v>
      </c>
      <c r="D479" s="1" t="s">
        <v>18</v>
      </c>
      <c r="E479" s="1" t="s">
        <v>23</v>
      </c>
      <c r="F479" s="4">
        <v>4510500</v>
      </c>
      <c r="G479" s="4">
        <v>4295000</v>
      </c>
      <c r="H479" s="4">
        <v>215500</v>
      </c>
      <c r="I479" s="4">
        <v>30000</v>
      </c>
      <c r="J479" s="4">
        <v>5600</v>
      </c>
      <c r="K479" s="4">
        <v>965100</v>
      </c>
      <c r="L479" s="4">
        <v>997750</v>
      </c>
      <c r="M479" s="4">
        <f>Tabla1[[#This Row],[BASE DEL DIA]]+Tabla1[[#This Row],[ENTREGAS]]+Tabla1[[#This Row],[TARJETAS]]+Tabla1[[#This Row],[NEQUI O QR]]+Tabla1[[#This Row],[VENTAS FE.CREDITO]]-Tabla1[[#This Row],[VENTAS NETAS]]-Tabla1[[#This Row],[BASE ANTERIOR]]</f>
        <v>2950</v>
      </c>
    </row>
    <row r="480" spans="1:13" ht="13.5" customHeight="1" x14ac:dyDescent="0.2">
      <c r="A480" s="1">
        <v>6212</v>
      </c>
      <c r="B480" s="2">
        <v>45634</v>
      </c>
      <c r="C480" s="3" t="s">
        <v>91</v>
      </c>
      <c r="D480" s="1" t="s">
        <v>133</v>
      </c>
      <c r="E480" s="1" t="s">
        <v>22</v>
      </c>
      <c r="F480" s="4">
        <v>5154900</v>
      </c>
      <c r="G480" s="4">
        <v>4594000</v>
      </c>
      <c r="H480" s="4">
        <v>320300</v>
      </c>
      <c r="I480" s="4">
        <v>0</v>
      </c>
      <c r="J480" s="4">
        <v>165800</v>
      </c>
      <c r="K480" s="4">
        <v>997750</v>
      </c>
      <c r="L480" s="4">
        <v>920800</v>
      </c>
      <c r="M480" s="4">
        <f>Tabla1[[#This Row],[BASE DEL DIA]]+Tabla1[[#This Row],[ENTREGAS]]+Tabla1[[#This Row],[TARJETAS]]+Tabla1[[#This Row],[NEQUI O QR]]+Tabla1[[#This Row],[VENTAS FE.CREDITO]]-Tabla1[[#This Row],[VENTAS NETAS]]-Tabla1[[#This Row],[BASE ANTERIOR]]</f>
        <v>2150</v>
      </c>
    </row>
    <row r="481" spans="1:13" ht="13.5" customHeight="1" x14ac:dyDescent="0.2">
      <c r="A481" s="1">
        <v>6211</v>
      </c>
      <c r="B481" s="2">
        <v>45633</v>
      </c>
      <c r="C481" s="3" t="s">
        <v>130</v>
      </c>
      <c r="D481" s="1" t="s">
        <v>16</v>
      </c>
      <c r="E481" s="1" t="s">
        <v>23</v>
      </c>
      <c r="F481" s="4">
        <v>6031800</v>
      </c>
      <c r="G481" s="4">
        <v>5403200</v>
      </c>
      <c r="H481" s="4">
        <v>607600</v>
      </c>
      <c r="I481" s="4">
        <v>50300</v>
      </c>
      <c r="J481" s="4">
        <v>8000</v>
      </c>
      <c r="K481" s="4">
        <v>920800</v>
      </c>
      <c r="L481" s="4">
        <v>952100</v>
      </c>
      <c r="M481" s="4">
        <f>Tabla1[[#This Row],[BASE DEL DIA]]+Tabla1[[#This Row],[ENTREGAS]]+Tabla1[[#This Row],[TARJETAS]]+Tabla1[[#This Row],[NEQUI O QR]]+Tabla1[[#This Row],[VENTAS FE.CREDITO]]-Tabla1[[#This Row],[VENTAS NETAS]]-Tabla1[[#This Row],[BASE ANTERIOR]]</f>
        <v>6000</v>
      </c>
    </row>
    <row r="482" spans="1:13" ht="13.5" customHeight="1" x14ac:dyDescent="0.2">
      <c r="A482" s="1">
        <v>6210</v>
      </c>
      <c r="B482" s="2">
        <v>45633</v>
      </c>
      <c r="C482" s="3" t="s">
        <v>164</v>
      </c>
      <c r="D482" s="1" t="s">
        <v>18</v>
      </c>
      <c r="E482" s="1" t="s">
        <v>22</v>
      </c>
      <c r="F482" s="4">
        <v>4705300</v>
      </c>
      <c r="G482" s="4">
        <v>4220450</v>
      </c>
      <c r="H482" s="4">
        <v>424800</v>
      </c>
      <c r="I482" s="4">
        <v>65300</v>
      </c>
      <c r="K482" s="4">
        <v>952100</v>
      </c>
      <c r="L482" s="4">
        <v>957100</v>
      </c>
      <c r="M482" s="4">
        <f>Tabla1[[#This Row],[BASE DEL DIA]]+Tabla1[[#This Row],[ENTREGAS]]+Tabla1[[#This Row],[TARJETAS]]+Tabla1[[#This Row],[NEQUI O QR]]+Tabla1[[#This Row],[VENTAS FE.CREDITO]]-Tabla1[[#This Row],[VENTAS NETAS]]-Tabla1[[#This Row],[BASE ANTERIOR]]</f>
        <v>250</v>
      </c>
    </row>
    <row r="483" spans="1:13" ht="13.5" customHeight="1" x14ac:dyDescent="0.2">
      <c r="A483" s="1">
        <v>6209</v>
      </c>
      <c r="B483" s="2">
        <v>45632</v>
      </c>
      <c r="C483" s="3" t="s">
        <v>83</v>
      </c>
      <c r="D483" s="1" t="s">
        <v>18</v>
      </c>
      <c r="E483" s="1" t="s">
        <v>23</v>
      </c>
      <c r="F483" s="4">
        <v>3948000</v>
      </c>
      <c r="G483" s="4">
        <v>3590000</v>
      </c>
      <c r="H483" s="4">
        <v>344200</v>
      </c>
      <c r="I483" s="4">
        <v>0</v>
      </c>
      <c r="J483" s="4">
        <v>16900</v>
      </c>
      <c r="K483" s="4">
        <v>957100</v>
      </c>
      <c r="L483" s="4">
        <v>960200</v>
      </c>
      <c r="M483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484" spans="1:13" ht="13.5" customHeight="1" x14ac:dyDescent="0.2">
      <c r="A484" s="1">
        <v>6208</v>
      </c>
      <c r="B484" s="2">
        <v>45632</v>
      </c>
      <c r="C484" s="3" t="s">
        <v>74</v>
      </c>
      <c r="D484" s="1" t="s">
        <v>16</v>
      </c>
      <c r="E484" s="1" t="s">
        <v>22</v>
      </c>
      <c r="F484" s="4">
        <v>2480000</v>
      </c>
      <c r="G484" s="4">
        <v>2179500</v>
      </c>
      <c r="H484" s="4">
        <v>146100</v>
      </c>
      <c r="I484" s="4">
        <v>37100</v>
      </c>
      <c r="K484" s="4">
        <v>960200</v>
      </c>
      <c r="L484" s="4">
        <v>840150</v>
      </c>
      <c r="M484" s="4">
        <f>Tabla1[[#This Row],[BASE DEL DIA]]+Tabla1[[#This Row],[ENTREGAS]]+Tabla1[[#This Row],[TARJETAS]]+Tabla1[[#This Row],[NEQUI O QR]]+Tabla1[[#This Row],[VENTAS FE.CREDITO]]-Tabla1[[#This Row],[VENTAS NETAS]]-Tabla1[[#This Row],[BASE ANTERIOR]]</f>
        <v>2750</v>
      </c>
    </row>
    <row r="485" spans="1:13" ht="13.5" customHeight="1" x14ac:dyDescent="0.2">
      <c r="A485" s="1">
        <v>6207</v>
      </c>
      <c r="B485" s="2">
        <v>45631</v>
      </c>
      <c r="C485" s="3" t="s">
        <v>96</v>
      </c>
      <c r="D485" s="1" t="s">
        <v>16</v>
      </c>
      <c r="E485" s="1" t="s">
        <v>23</v>
      </c>
      <c r="F485" s="4">
        <v>3927700</v>
      </c>
      <c r="G485" s="4">
        <v>3741300</v>
      </c>
      <c r="H485" s="4">
        <v>197400</v>
      </c>
      <c r="I485" s="4">
        <v>117300</v>
      </c>
      <c r="J485" s="4">
        <v>15900</v>
      </c>
      <c r="K485" s="4">
        <v>840150</v>
      </c>
      <c r="L485" s="4">
        <v>978800</v>
      </c>
      <c r="M485" s="4">
        <f>Tabla1[[#This Row],[BASE DEL DIA]]+Tabla1[[#This Row],[ENTREGAS]]+Tabla1[[#This Row],[TARJETAS]]+Tabla1[[#This Row],[NEQUI O QR]]+Tabla1[[#This Row],[VENTAS FE.CREDITO]]-Tabla1[[#This Row],[VENTAS NETAS]]-Tabla1[[#This Row],[BASE ANTERIOR]]</f>
        <v>5550</v>
      </c>
    </row>
    <row r="486" spans="1:13" ht="13.5" customHeight="1" x14ac:dyDescent="0.2">
      <c r="A486" s="1">
        <v>6206</v>
      </c>
      <c r="B486" s="2">
        <v>45631</v>
      </c>
      <c r="C486" s="3" t="s">
        <v>81</v>
      </c>
      <c r="D486" s="1" t="s">
        <v>18</v>
      </c>
      <c r="E486" s="1" t="s">
        <v>22</v>
      </c>
      <c r="F486" s="4">
        <v>2301700</v>
      </c>
      <c r="G486" s="4">
        <v>2241500</v>
      </c>
      <c r="H486" s="4">
        <v>11700</v>
      </c>
      <c r="I486" s="4">
        <v>27700</v>
      </c>
      <c r="J486" s="4">
        <v>6700</v>
      </c>
      <c r="K486" s="4">
        <v>978800</v>
      </c>
      <c r="L486" s="4">
        <v>959600</v>
      </c>
      <c r="M486" s="4">
        <f>Tabla1[[#This Row],[BASE DEL DIA]]+Tabla1[[#This Row],[ENTREGAS]]+Tabla1[[#This Row],[TARJETAS]]+Tabla1[[#This Row],[NEQUI O QR]]+Tabla1[[#This Row],[VENTAS FE.CREDITO]]-Tabla1[[#This Row],[VENTAS NETAS]]-Tabla1[[#This Row],[BASE ANTERIOR]]</f>
        <v>5100</v>
      </c>
    </row>
    <row r="487" spans="1:13" ht="13.5" customHeight="1" x14ac:dyDescent="0.2">
      <c r="A487" s="1">
        <v>6205</v>
      </c>
      <c r="B487" s="2">
        <v>45630</v>
      </c>
      <c r="C487" s="3" t="s">
        <v>130</v>
      </c>
      <c r="D487" s="1" t="s">
        <v>18</v>
      </c>
      <c r="E487" s="1" t="s">
        <v>23</v>
      </c>
      <c r="F487" s="4">
        <v>4435500</v>
      </c>
      <c r="G487" s="4">
        <v>4095000</v>
      </c>
      <c r="H487" s="4">
        <v>346100</v>
      </c>
      <c r="I487" s="4">
        <v>7400</v>
      </c>
      <c r="J487" s="4">
        <v>14500</v>
      </c>
      <c r="K487" s="4">
        <v>959600</v>
      </c>
      <c r="L487" s="4">
        <v>986750</v>
      </c>
      <c r="M487" s="4">
        <f>Tabla1[[#This Row],[BASE DEL DIA]]+Tabla1[[#This Row],[ENTREGAS]]+Tabla1[[#This Row],[TARJETAS]]+Tabla1[[#This Row],[NEQUI O QR]]+Tabla1[[#This Row],[VENTAS FE.CREDITO]]-Tabla1[[#This Row],[VENTAS NETAS]]-Tabla1[[#This Row],[BASE ANTERIOR]]</f>
        <v>350</v>
      </c>
    </row>
    <row r="488" spans="1:13" ht="13.5" customHeight="1" x14ac:dyDescent="0.2">
      <c r="A488" s="1">
        <v>6203</v>
      </c>
      <c r="B488" s="2">
        <v>45630</v>
      </c>
      <c r="C488" s="3" t="s">
        <v>151</v>
      </c>
      <c r="D488" s="1" t="s">
        <v>16</v>
      </c>
      <c r="E488" s="1" t="s">
        <v>22</v>
      </c>
      <c r="F488" s="4">
        <v>3108400</v>
      </c>
      <c r="G488" s="4">
        <v>2654500</v>
      </c>
      <c r="H488" s="4">
        <v>423900</v>
      </c>
      <c r="I488" s="4">
        <v>0</v>
      </c>
      <c r="J488" s="4">
        <v>0</v>
      </c>
      <c r="K488" s="4">
        <v>986750</v>
      </c>
      <c r="L488" s="4">
        <v>983100</v>
      </c>
      <c r="M488" s="4">
        <f>Tabla1[[#This Row],[BASE DEL DIA]]+Tabla1[[#This Row],[ENTREGAS]]+Tabla1[[#This Row],[TARJETAS]]+Tabla1[[#This Row],[NEQUI O QR]]+Tabla1[[#This Row],[VENTAS FE.CREDITO]]-Tabla1[[#This Row],[VENTAS NETAS]]-Tabla1[[#This Row],[BASE ANTERIOR]]</f>
        <v>-26350</v>
      </c>
    </row>
    <row r="489" spans="1:13" ht="13.5" customHeight="1" x14ac:dyDescent="0.2">
      <c r="A489" s="1">
        <v>6202</v>
      </c>
      <c r="B489" s="2">
        <v>45629</v>
      </c>
      <c r="C489" s="3" t="s">
        <v>54</v>
      </c>
      <c r="D489" s="1" t="s">
        <v>16</v>
      </c>
      <c r="E489" s="1" t="s">
        <v>22</v>
      </c>
      <c r="F489" s="4">
        <v>5832200</v>
      </c>
      <c r="G489" s="4">
        <v>5042400</v>
      </c>
      <c r="H489" s="4">
        <v>508500</v>
      </c>
      <c r="I489" s="4">
        <v>76200</v>
      </c>
      <c r="J489" s="4">
        <v>120400</v>
      </c>
      <c r="K489" s="4">
        <v>953100</v>
      </c>
      <c r="L489" s="4">
        <v>866950</v>
      </c>
      <c r="M489" s="4">
        <f>Tabla1[[#This Row],[BASE DEL DIA]]+Tabla1[[#This Row],[ENTREGAS]]+Tabla1[[#This Row],[TARJETAS]]+Tabla1[[#This Row],[NEQUI O QR]]+Tabla1[[#This Row],[VENTAS FE.CREDITO]]-Tabla1[[#This Row],[VENTAS NETAS]]-Tabla1[[#This Row],[BASE ANTERIOR]]</f>
        <v>1450</v>
      </c>
    </row>
    <row r="490" spans="1:13" ht="13.5" customHeight="1" x14ac:dyDescent="0.2">
      <c r="A490" s="1">
        <v>6201</v>
      </c>
      <c r="B490" s="2">
        <v>45629</v>
      </c>
      <c r="C490" s="3" t="s">
        <v>116</v>
      </c>
      <c r="D490" s="1" t="s">
        <v>18</v>
      </c>
      <c r="E490" s="1" t="s">
        <v>22</v>
      </c>
      <c r="F490" s="4">
        <v>3368700</v>
      </c>
      <c r="G490" s="4">
        <v>3221900</v>
      </c>
      <c r="H490" s="4">
        <v>232200</v>
      </c>
      <c r="I490" s="4">
        <v>6500</v>
      </c>
      <c r="J490" s="4">
        <v>13000</v>
      </c>
      <c r="K490" s="4">
        <v>866950</v>
      </c>
      <c r="L490" s="4">
        <v>970450</v>
      </c>
      <c r="M490" s="4">
        <f>Tabla1[[#This Row],[BASE DEL DIA]]+Tabla1[[#This Row],[ENTREGAS]]+Tabla1[[#This Row],[TARJETAS]]+Tabla1[[#This Row],[NEQUI O QR]]+Tabla1[[#This Row],[VENTAS FE.CREDITO]]-Tabla1[[#This Row],[VENTAS NETAS]]-Tabla1[[#This Row],[BASE ANTERIOR]]</f>
        <v>1400</v>
      </c>
    </row>
    <row r="491" spans="1:13" ht="13.5" customHeight="1" x14ac:dyDescent="0.2">
      <c r="A491" s="1">
        <v>6200</v>
      </c>
      <c r="B491" s="2">
        <v>45628</v>
      </c>
      <c r="C491" s="3" t="s">
        <v>106</v>
      </c>
      <c r="D491" s="1" t="s">
        <v>18</v>
      </c>
      <c r="E491" s="1" t="s">
        <v>23</v>
      </c>
      <c r="F491" s="4">
        <v>5597150</v>
      </c>
      <c r="G491" s="4">
        <v>5455000</v>
      </c>
      <c r="H491" s="4">
        <v>94100</v>
      </c>
      <c r="I491" s="4">
        <v>5600</v>
      </c>
      <c r="J491" s="4">
        <v>6600</v>
      </c>
      <c r="K491" s="4">
        <v>970450</v>
      </c>
      <c r="L491" s="4">
        <v>925600</v>
      </c>
      <c r="M491" s="4">
        <f>Tabla1[[#This Row],[BASE DEL DIA]]+Tabla1[[#This Row],[ENTREGAS]]+Tabla1[[#This Row],[TARJETAS]]+Tabla1[[#This Row],[NEQUI O QR]]+Tabla1[[#This Row],[VENTAS FE.CREDITO]]-Tabla1[[#This Row],[VENTAS NETAS]]-Tabla1[[#This Row],[BASE ANTERIOR]]</f>
        <v>9000</v>
      </c>
    </row>
    <row r="492" spans="1:13" ht="13.5" customHeight="1" x14ac:dyDescent="0.2">
      <c r="A492" s="1">
        <v>6199</v>
      </c>
      <c r="B492" s="2">
        <v>45628</v>
      </c>
      <c r="C492" s="3" t="s">
        <v>116</v>
      </c>
      <c r="D492" s="1" t="s">
        <v>16</v>
      </c>
      <c r="E492" s="1" t="s">
        <v>22</v>
      </c>
      <c r="F492" s="4">
        <v>4194200</v>
      </c>
      <c r="G492" s="4">
        <v>4008350</v>
      </c>
      <c r="H492" s="4">
        <v>49500</v>
      </c>
      <c r="I492" s="4">
        <v>76300</v>
      </c>
      <c r="K492" s="4">
        <v>925600</v>
      </c>
      <c r="L492" s="4">
        <v>864650</v>
      </c>
      <c r="M492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493" spans="1:13" ht="13.5" customHeight="1" x14ac:dyDescent="0.2">
      <c r="A493" s="1">
        <v>6198</v>
      </c>
      <c r="B493" s="2">
        <v>45627</v>
      </c>
      <c r="C493" s="3" t="s">
        <v>156</v>
      </c>
      <c r="D493" s="1" t="s">
        <v>19</v>
      </c>
      <c r="E493" s="1" t="s">
        <v>23</v>
      </c>
      <c r="F493" s="4">
        <v>5441900</v>
      </c>
      <c r="G493" s="4">
        <v>5020000</v>
      </c>
      <c r="H493" s="4">
        <v>345900</v>
      </c>
      <c r="I493" s="4">
        <v>62800</v>
      </c>
      <c r="J493" s="4">
        <v>0</v>
      </c>
      <c r="K493" s="4">
        <v>864650</v>
      </c>
      <c r="L493" s="4">
        <v>852150</v>
      </c>
      <c r="M493" s="4">
        <f>Tabla1[[#This Row],[BASE DEL DIA]]+Tabla1[[#This Row],[ENTREGAS]]+Tabla1[[#This Row],[TARJETAS]]+Tabla1[[#This Row],[NEQUI O QR]]+Tabla1[[#This Row],[VENTAS FE.CREDITO]]-Tabla1[[#This Row],[VENTAS NETAS]]-Tabla1[[#This Row],[BASE ANTERIOR]]</f>
        <v>-700</v>
      </c>
    </row>
    <row r="494" spans="1:13" ht="13.5" customHeight="1" x14ac:dyDescent="0.2">
      <c r="A494" s="1">
        <v>6197</v>
      </c>
      <c r="B494" s="2">
        <v>45627</v>
      </c>
      <c r="C494" s="3" t="s">
        <v>97</v>
      </c>
      <c r="D494" s="1" t="s">
        <v>133</v>
      </c>
      <c r="E494" s="1" t="s">
        <v>22</v>
      </c>
      <c r="F494" s="4">
        <v>5243650</v>
      </c>
      <c r="G494" s="4">
        <v>4651500</v>
      </c>
      <c r="H494" s="4">
        <v>516200</v>
      </c>
      <c r="I494" s="4">
        <v>68100</v>
      </c>
      <c r="J494" s="4">
        <v>0</v>
      </c>
      <c r="K494" s="4">
        <v>852150</v>
      </c>
      <c r="L494" s="4">
        <v>840200</v>
      </c>
      <c r="M494" s="4">
        <f>Tabla1[[#This Row],[BASE DEL DIA]]+Tabla1[[#This Row],[ENTREGAS]]+Tabla1[[#This Row],[TARJETAS]]+Tabla1[[#This Row],[NEQUI O QR]]+Tabla1[[#This Row],[VENTAS FE.CREDITO]]-Tabla1[[#This Row],[VENTAS NETAS]]-Tabla1[[#This Row],[BASE ANTERIOR]]</f>
        <v>4100</v>
      </c>
    </row>
    <row r="495" spans="1:13" ht="13.5" customHeight="1" x14ac:dyDescent="0.2">
      <c r="A495" s="1">
        <v>6196</v>
      </c>
      <c r="B495" s="2">
        <v>45626</v>
      </c>
      <c r="C495" s="3" t="s">
        <v>66</v>
      </c>
      <c r="D495" s="1" t="s">
        <v>17</v>
      </c>
      <c r="E495" s="1" t="s">
        <v>23</v>
      </c>
      <c r="F495" s="4">
        <v>5878300</v>
      </c>
      <c r="G495" s="4">
        <v>5206000</v>
      </c>
      <c r="H495" s="4">
        <v>381200</v>
      </c>
      <c r="I495" s="4">
        <v>299500</v>
      </c>
      <c r="J495" s="4">
        <v>0</v>
      </c>
      <c r="K495" s="4">
        <v>840200</v>
      </c>
      <c r="L495" s="4">
        <v>838800</v>
      </c>
      <c r="M495" s="4">
        <f>Tabla1[[#This Row],[BASE DEL DIA]]+Tabla1[[#This Row],[ENTREGAS]]+Tabla1[[#This Row],[TARJETAS]]+Tabla1[[#This Row],[NEQUI O QR]]+Tabla1[[#This Row],[VENTAS FE.CREDITO]]-Tabla1[[#This Row],[VENTAS NETAS]]-Tabla1[[#This Row],[BASE ANTERIOR]]</f>
        <v>9800</v>
      </c>
    </row>
    <row r="496" spans="1:13" ht="13.5" customHeight="1" x14ac:dyDescent="0.2">
      <c r="A496" s="1">
        <v>6195</v>
      </c>
      <c r="B496" s="2">
        <v>45626</v>
      </c>
      <c r="C496" s="3" t="s">
        <v>97</v>
      </c>
      <c r="D496" s="1" t="s">
        <v>19</v>
      </c>
      <c r="E496" s="1" t="s">
        <v>22</v>
      </c>
      <c r="F496" s="4">
        <v>2931600</v>
      </c>
      <c r="G496" s="4">
        <v>2460000</v>
      </c>
      <c r="H496" s="4">
        <v>491800</v>
      </c>
      <c r="I496" s="4">
        <v>27200</v>
      </c>
      <c r="J496" s="4">
        <v>0</v>
      </c>
      <c r="K496" s="4">
        <v>838800</v>
      </c>
      <c r="L496" s="4">
        <v>836700</v>
      </c>
      <c r="M496" s="4">
        <f>Tabla1[[#This Row],[BASE DEL DIA]]+Tabla1[[#This Row],[ENTREGAS]]+Tabla1[[#This Row],[TARJETAS]]+Tabla1[[#This Row],[NEQUI O QR]]+Tabla1[[#This Row],[VENTAS FE.CREDITO]]-Tabla1[[#This Row],[VENTAS NETAS]]-Tabla1[[#This Row],[BASE ANTERIOR]]</f>
        <v>49500</v>
      </c>
    </row>
    <row r="497" spans="1:13" ht="13.5" customHeight="1" x14ac:dyDescent="0.2">
      <c r="A497" s="1">
        <v>6194</v>
      </c>
      <c r="B497" s="2">
        <v>45625</v>
      </c>
      <c r="C497" s="3" t="s">
        <v>40</v>
      </c>
      <c r="D497" s="1" t="s">
        <v>19</v>
      </c>
      <c r="E497" s="1" t="s">
        <v>23</v>
      </c>
      <c r="F497" s="4">
        <v>4439300</v>
      </c>
      <c r="G497" s="4">
        <v>3640000</v>
      </c>
      <c r="H497" s="4">
        <v>655800</v>
      </c>
      <c r="I497" s="4">
        <v>187000</v>
      </c>
      <c r="J497" s="4">
        <v>0</v>
      </c>
      <c r="K497" s="4">
        <v>836700</v>
      </c>
      <c r="L497" s="4">
        <v>859500</v>
      </c>
      <c r="M497" s="4">
        <f>Tabla1[[#This Row],[BASE DEL DIA]]+Tabla1[[#This Row],[ENTREGAS]]+Tabla1[[#This Row],[TARJETAS]]+Tabla1[[#This Row],[NEQUI O QR]]+Tabla1[[#This Row],[VENTAS FE.CREDITO]]-Tabla1[[#This Row],[VENTAS NETAS]]-Tabla1[[#This Row],[BASE ANTERIOR]]</f>
        <v>20700</v>
      </c>
    </row>
    <row r="498" spans="1:13" ht="13.5" customHeight="1" x14ac:dyDescent="0.2">
      <c r="A498" s="1">
        <v>6193</v>
      </c>
      <c r="B498" s="2">
        <v>45625</v>
      </c>
      <c r="C498" s="3" t="s">
        <v>97</v>
      </c>
      <c r="D498" s="1" t="s">
        <v>17</v>
      </c>
      <c r="E498" s="1" t="s">
        <v>22</v>
      </c>
      <c r="F498" s="4">
        <v>1925700</v>
      </c>
      <c r="G498" s="4">
        <v>1910700</v>
      </c>
      <c r="H498" s="4">
        <v>0</v>
      </c>
      <c r="I498" s="4">
        <v>16000</v>
      </c>
      <c r="J498" s="4">
        <v>0</v>
      </c>
      <c r="K498" s="4">
        <v>859500</v>
      </c>
      <c r="L498" s="4">
        <v>862000</v>
      </c>
      <c r="M498" s="4">
        <f>Tabla1[[#This Row],[BASE DEL DIA]]+Tabla1[[#This Row],[ENTREGAS]]+Tabla1[[#This Row],[TARJETAS]]+Tabla1[[#This Row],[NEQUI O QR]]+Tabla1[[#This Row],[VENTAS FE.CREDITO]]-Tabla1[[#This Row],[VENTAS NETAS]]-Tabla1[[#This Row],[BASE ANTERIOR]]</f>
        <v>-1500</v>
      </c>
    </row>
    <row r="499" spans="1:13" ht="13.5" customHeight="1" x14ac:dyDescent="0.2">
      <c r="A499" s="1">
        <v>6192</v>
      </c>
      <c r="B499" s="2">
        <v>45624</v>
      </c>
      <c r="C499" s="3" t="s">
        <v>85</v>
      </c>
      <c r="D499" s="1" t="s">
        <v>17</v>
      </c>
      <c r="E499" s="1" t="s">
        <v>23</v>
      </c>
      <c r="F499" s="4">
        <v>2580700</v>
      </c>
      <c r="G499" s="4">
        <v>2263100</v>
      </c>
      <c r="H499" s="4">
        <v>97600</v>
      </c>
      <c r="I499" s="4">
        <v>241300</v>
      </c>
      <c r="J499" s="4">
        <v>0</v>
      </c>
      <c r="K499" s="4">
        <v>862000</v>
      </c>
      <c r="L499" s="4">
        <v>884100</v>
      </c>
      <c r="M499" s="4">
        <f>Tabla1[[#This Row],[BASE DEL DIA]]+Tabla1[[#This Row],[ENTREGAS]]+Tabla1[[#This Row],[TARJETAS]]+Tabla1[[#This Row],[NEQUI O QR]]+Tabla1[[#This Row],[VENTAS FE.CREDITO]]-Tabla1[[#This Row],[VENTAS NETAS]]-Tabla1[[#This Row],[BASE ANTERIOR]]</f>
        <v>-800</v>
      </c>
    </row>
    <row r="500" spans="1:13" ht="13.5" customHeight="1" x14ac:dyDescent="0.2">
      <c r="A500" s="1">
        <v>6191</v>
      </c>
      <c r="B500" s="2">
        <v>45624</v>
      </c>
      <c r="C500" s="3" t="s">
        <v>80</v>
      </c>
      <c r="D500" s="1" t="s">
        <v>19</v>
      </c>
      <c r="E500" s="1" t="s">
        <v>22</v>
      </c>
      <c r="F500" s="4">
        <v>2182100</v>
      </c>
      <c r="G500" s="4">
        <v>2325000</v>
      </c>
      <c r="H500" s="4">
        <v>40300</v>
      </c>
      <c r="I500" s="4">
        <v>16400</v>
      </c>
      <c r="J500" s="4">
        <v>0</v>
      </c>
      <c r="K500" s="4">
        <v>884100</v>
      </c>
      <c r="L500" s="4">
        <v>1085150</v>
      </c>
      <c r="M500" s="4">
        <f>Tabla1[[#This Row],[BASE DEL DIA]]+Tabla1[[#This Row],[ENTREGAS]]+Tabla1[[#This Row],[TARJETAS]]+Tabla1[[#This Row],[NEQUI O QR]]+Tabla1[[#This Row],[VENTAS FE.CREDITO]]-Tabla1[[#This Row],[VENTAS NETAS]]-Tabla1[[#This Row],[BASE ANTERIOR]]</f>
        <v>-1450</v>
      </c>
    </row>
    <row r="501" spans="1:13" ht="13.5" customHeight="1" x14ac:dyDescent="0.2">
      <c r="A501" s="1">
        <v>6190</v>
      </c>
      <c r="B501" s="2">
        <v>45623</v>
      </c>
      <c r="C501" s="3" t="s">
        <v>83</v>
      </c>
      <c r="D501" s="1" t="s">
        <v>19</v>
      </c>
      <c r="E501" s="1" t="s">
        <v>23</v>
      </c>
      <c r="F501" s="4">
        <v>3320000</v>
      </c>
      <c r="G501" s="4">
        <v>3130000</v>
      </c>
      <c r="H501" s="4">
        <v>125500</v>
      </c>
      <c r="I501" s="4">
        <v>0</v>
      </c>
      <c r="J501" s="4">
        <v>10500</v>
      </c>
      <c r="K501" s="4">
        <v>1085150</v>
      </c>
      <c r="L501" s="4">
        <v>1042800</v>
      </c>
      <c r="M501" s="4">
        <f>Tabla1[[#This Row],[BASE DEL DIA]]+Tabla1[[#This Row],[ENTREGAS]]+Tabla1[[#This Row],[TARJETAS]]+Tabla1[[#This Row],[NEQUI O QR]]+Tabla1[[#This Row],[VENTAS FE.CREDITO]]-Tabla1[[#This Row],[VENTAS NETAS]]-Tabla1[[#This Row],[BASE ANTERIOR]]</f>
        <v>-11650</v>
      </c>
    </row>
    <row r="502" spans="1:13" ht="13.5" customHeight="1" x14ac:dyDescent="0.2">
      <c r="A502" s="1">
        <v>6188</v>
      </c>
      <c r="B502" s="2">
        <v>45622</v>
      </c>
      <c r="C502" s="3" t="s">
        <v>105</v>
      </c>
      <c r="D502" s="1" t="s">
        <v>17</v>
      </c>
      <c r="E502" s="1" t="s">
        <v>23</v>
      </c>
      <c r="F502" s="4">
        <v>2862800</v>
      </c>
      <c r="G502" s="4">
        <v>2700000</v>
      </c>
      <c r="H502" s="4">
        <v>270300</v>
      </c>
      <c r="I502" s="4">
        <v>0</v>
      </c>
      <c r="J502" s="4">
        <v>0</v>
      </c>
      <c r="K502" s="4">
        <v>890450</v>
      </c>
      <c r="L502" s="4">
        <v>999050</v>
      </c>
      <c r="M502" s="4">
        <f>Tabla1[[#This Row],[BASE DEL DIA]]+Tabla1[[#This Row],[ENTREGAS]]+Tabla1[[#This Row],[TARJETAS]]+Tabla1[[#This Row],[NEQUI O QR]]+Tabla1[[#This Row],[VENTAS FE.CREDITO]]-Tabla1[[#This Row],[VENTAS NETAS]]-Tabla1[[#This Row],[BASE ANTERIOR]]</f>
        <v>-1100</v>
      </c>
    </row>
    <row r="503" spans="1:13" ht="13.5" customHeight="1" x14ac:dyDescent="0.2">
      <c r="A503" s="1">
        <v>6187</v>
      </c>
      <c r="B503" s="2">
        <v>45622</v>
      </c>
      <c r="C503" s="3" t="s">
        <v>67</v>
      </c>
      <c r="D503" s="1" t="s">
        <v>19</v>
      </c>
      <c r="E503" s="1" t="s">
        <v>22</v>
      </c>
      <c r="F503" s="4">
        <v>2902500</v>
      </c>
      <c r="G503" s="4">
        <v>2780700</v>
      </c>
      <c r="H503" s="4">
        <v>33400</v>
      </c>
      <c r="I503" s="4">
        <v>6400</v>
      </c>
      <c r="J503" s="4">
        <v>0</v>
      </c>
      <c r="K503" s="4">
        <v>999050</v>
      </c>
      <c r="L503" s="4">
        <v>914500</v>
      </c>
      <c r="M503" s="4">
        <f>Tabla1[[#This Row],[BASE DEL DIA]]+Tabla1[[#This Row],[ENTREGAS]]+Tabla1[[#This Row],[TARJETAS]]+Tabla1[[#This Row],[NEQUI O QR]]+Tabla1[[#This Row],[VENTAS FE.CREDITO]]-Tabla1[[#This Row],[VENTAS NETAS]]-Tabla1[[#This Row],[BASE ANTERIOR]]</f>
        <v>2550</v>
      </c>
    </row>
    <row r="504" spans="1:13" ht="13.5" customHeight="1" x14ac:dyDescent="0.2">
      <c r="A504" s="1">
        <v>6186</v>
      </c>
      <c r="B504" s="2">
        <v>45621</v>
      </c>
      <c r="C504" s="3" t="s">
        <v>83</v>
      </c>
      <c r="D504" s="1" t="s">
        <v>19</v>
      </c>
      <c r="E504" s="1" t="s">
        <v>23</v>
      </c>
      <c r="F504" s="4">
        <v>3131700</v>
      </c>
      <c r="G504" s="4">
        <v>2810000</v>
      </c>
      <c r="H504" s="4">
        <v>239900</v>
      </c>
      <c r="I504" s="4">
        <v>78400</v>
      </c>
      <c r="J504" s="4">
        <v>22500</v>
      </c>
      <c r="K504" s="4">
        <v>914500</v>
      </c>
      <c r="L504" s="4">
        <v>935300</v>
      </c>
      <c r="M504" s="4">
        <f>Tabla1[[#This Row],[BASE DEL DIA]]+Tabla1[[#This Row],[ENTREGAS]]+Tabla1[[#This Row],[TARJETAS]]+Tabla1[[#This Row],[NEQUI O QR]]+Tabla1[[#This Row],[VENTAS FE.CREDITO]]-Tabla1[[#This Row],[VENTAS NETAS]]-Tabla1[[#This Row],[BASE ANTERIOR]]</f>
        <v>-1700</v>
      </c>
    </row>
    <row r="505" spans="1:13" ht="13.5" customHeight="1" x14ac:dyDescent="0.2">
      <c r="A505" s="1">
        <v>6185</v>
      </c>
      <c r="B505" s="2">
        <v>45621</v>
      </c>
      <c r="C505" s="3" t="s">
        <v>39</v>
      </c>
      <c r="D505" s="1" t="s">
        <v>17</v>
      </c>
      <c r="E505" s="1" t="s">
        <v>22</v>
      </c>
      <c r="F505" s="4">
        <v>2083200</v>
      </c>
      <c r="G505" s="4">
        <v>1968500</v>
      </c>
      <c r="H505" s="4">
        <v>29200</v>
      </c>
      <c r="I505" s="4">
        <v>14800</v>
      </c>
      <c r="K505" s="4">
        <v>935300</v>
      </c>
      <c r="L505" s="4">
        <v>871700</v>
      </c>
      <c r="M505" s="4">
        <f>Tabla1[[#This Row],[BASE DEL DIA]]+Tabla1[[#This Row],[ENTREGAS]]+Tabla1[[#This Row],[TARJETAS]]+Tabla1[[#This Row],[NEQUI O QR]]+Tabla1[[#This Row],[VENTAS FE.CREDITO]]-Tabla1[[#This Row],[VENTAS NETAS]]-Tabla1[[#This Row],[BASE ANTERIOR]]</f>
        <v>-7100</v>
      </c>
    </row>
    <row r="506" spans="1:13" ht="13.5" customHeight="1" x14ac:dyDescent="0.2">
      <c r="A506" s="1">
        <v>6184</v>
      </c>
      <c r="B506" s="2">
        <v>45620</v>
      </c>
      <c r="C506" s="3" t="s">
        <v>130</v>
      </c>
      <c r="D506" s="1" t="s">
        <v>133</v>
      </c>
      <c r="E506" s="1" t="s">
        <v>23</v>
      </c>
      <c r="F506" s="4">
        <v>5085000</v>
      </c>
      <c r="G506" s="4">
        <v>4730000</v>
      </c>
      <c r="H506" s="4">
        <v>399300</v>
      </c>
      <c r="I506" s="4">
        <v>52000</v>
      </c>
      <c r="J506" s="4">
        <v>3500</v>
      </c>
      <c r="K506" s="4">
        <v>871700</v>
      </c>
      <c r="L506" s="4">
        <v>964500</v>
      </c>
      <c r="M506" s="4">
        <f>Tabla1[[#This Row],[BASE DEL DIA]]+Tabla1[[#This Row],[ENTREGAS]]+Tabla1[[#This Row],[TARJETAS]]+Tabla1[[#This Row],[NEQUI O QR]]+Tabla1[[#This Row],[VENTAS FE.CREDITO]]-Tabla1[[#This Row],[VENTAS NETAS]]-Tabla1[[#This Row],[BASE ANTERIOR]]</f>
        <v>7000</v>
      </c>
    </row>
    <row r="507" spans="1:13" ht="13.5" customHeight="1" x14ac:dyDescent="0.2">
      <c r="A507" s="1">
        <v>6183</v>
      </c>
      <c r="B507" s="2">
        <v>45620</v>
      </c>
      <c r="C507" s="3" t="s">
        <v>93</v>
      </c>
      <c r="D507" s="1" t="s">
        <v>16</v>
      </c>
      <c r="E507" s="1" t="s">
        <v>22</v>
      </c>
      <c r="F507" s="4">
        <v>3714500</v>
      </c>
      <c r="G507" s="4">
        <v>3638000</v>
      </c>
      <c r="H507" s="4">
        <v>78100</v>
      </c>
      <c r="I507" s="4">
        <v>0</v>
      </c>
      <c r="J507" s="4">
        <v>0</v>
      </c>
      <c r="K507" s="4">
        <v>964500</v>
      </c>
      <c r="L507" s="4">
        <v>961900</v>
      </c>
      <c r="M507" s="4">
        <f>Tabla1[[#This Row],[BASE DEL DIA]]+Tabla1[[#This Row],[ENTREGAS]]+Tabla1[[#This Row],[TARJETAS]]+Tabla1[[#This Row],[NEQUI O QR]]+Tabla1[[#This Row],[VENTAS FE.CREDITO]]-Tabla1[[#This Row],[VENTAS NETAS]]-Tabla1[[#This Row],[BASE ANTERIOR]]</f>
        <v>4200</v>
      </c>
    </row>
    <row r="508" spans="1:13" ht="13.5" customHeight="1" x14ac:dyDescent="0.2">
      <c r="A508" s="1">
        <v>6182</v>
      </c>
      <c r="B508" s="2">
        <v>45619</v>
      </c>
      <c r="C508" s="3" t="s">
        <v>73</v>
      </c>
      <c r="D508" s="1" t="s">
        <v>19</v>
      </c>
      <c r="E508" s="1" t="s">
        <v>23</v>
      </c>
      <c r="F508" s="4">
        <v>3679200</v>
      </c>
      <c r="G508" s="4">
        <v>3483800</v>
      </c>
      <c r="H508" s="4">
        <v>67200</v>
      </c>
      <c r="I508" s="4">
        <v>94600</v>
      </c>
      <c r="J508" s="4">
        <v>32200</v>
      </c>
      <c r="K508" s="4">
        <v>961900</v>
      </c>
      <c r="L508" s="4">
        <v>965000</v>
      </c>
      <c r="M508" s="4">
        <f>Tabla1[[#This Row],[BASE DEL DIA]]+Tabla1[[#This Row],[ENTREGAS]]+Tabla1[[#This Row],[TARJETAS]]+Tabla1[[#This Row],[NEQUI O QR]]+Tabla1[[#This Row],[VENTAS FE.CREDITO]]-Tabla1[[#This Row],[VENTAS NETAS]]-Tabla1[[#This Row],[BASE ANTERIOR]]</f>
        <v>-4500</v>
      </c>
    </row>
    <row r="509" spans="1:13" ht="13.5" customHeight="1" x14ac:dyDescent="0.2">
      <c r="A509" s="1">
        <v>6181</v>
      </c>
      <c r="B509" s="2">
        <v>45619</v>
      </c>
      <c r="C509" s="3" t="s">
        <v>86</v>
      </c>
      <c r="D509" s="1" t="s">
        <v>18</v>
      </c>
      <c r="E509" s="1" t="s">
        <v>23</v>
      </c>
      <c r="F509" s="4">
        <v>3074000</v>
      </c>
      <c r="G509" s="4">
        <v>3039300</v>
      </c>
      <c r="H509" s="4">
        <v>17400</v>
      </c>
      <c r="I509" s="4">
        <v>0</v>
      </c>
      <c r="J509" s="4">
        <v>47400</v>
      </c>
      <c r="K509" s="4">
        <v>965000</v>
      </c>
      <c r="L509" s="4">
        <v>997300</v>
      </c>
      <c r="M509" s="4">
        <f>Tabla1[[#This Row],[BASE DEL DIA]]+Tabla1[[#This Row],[ENTREGAS]]+Tabla1[[#This Row],[TARJETAS]]+Tabla1[[#This Row],[NEQUI O QR]]+Tabla1[[#This Row],[VENTAS FE.CREDITO]]-Tabla1[[#This Row],[VENTAS NETAS]]-Tabla1[[#This Row],[BASE ANTERIOR]]</f>
        <v>-2200</v>
      </c>
    </row>
    <row r="510" spans="1:13" ht="13.5" customHeight="1" x14ac:dyDescent="0.2">
      <c r="A510" s="1">
        <v>6180</v>
      </c>
      <c r="B510" s="2">
        <v>45618</v>
      </c>
      <c r="C510" s="3" t="s">
        <v>110</v>
      </c>
      <c r="D510" s="1" t="s">
        <v>18</v>
      </c>
      <c r="E510" s="1" t="s">
        <v>23</v>
      </c>
      <c r="F510" s="4">
        <v>3306200</v>
      </c>
      <c r="G510" s="4">
        <v>2992600</v>
      </c>
      <c r="H510" s="4">
        <v>119500</v>
      </c>
      <c r="I510" s="4">
        <v>93400</v>
      </c>
      <c r="J510" s="4">
        <v>9600</v>
      </c>
      <c r="K510" s="4">
        <v>997300</v>
      </c>
      <c r="L510" s="4">
        <v>905200</v>
      </c>
      <c r="M510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</v>
      </c>
    </row>
    <row r="511" spans="1:13" ht="13.5" customHeight="1" x14ac:dyDescent="0.2">
      <c r="A511" s="1">
        <v>6179</v>
      </c>
      <c r="B511" s="2">
        <v>45618</v>
      </c>
      <c r="C511" s="3" t="s">
        <v>49</v>
      </c>
      <c r="D511" s="1" t="s">
        <v>16</v>
      </c>
      <c r="E511" s="1" t="s">
        <v>22</v>
      </c>
      <c r="F511" s="4">
        <v>2657200</v>
      </c>
      <c r="G511" s="4">
        <v>2394050</v>
      </c>
      <c r="H511" s="4">
        <v>52000</v>
      </c>
      <c r="I511" s="4">
        <v>120100</v>
      </c>
      <c r="J511" s="4">
        <v>12200</v>
      </c>
      <c r="K511" s="4">
        <v>905200</v>
      </c>
      <c r="L511" s="4">
        <v>816500</v>
      </c>
      <c r="M511" s="4">
        <f>Tabla1[[#This Row],[BASE DEL DIA]]+Tabla1[[#This Row],[ENTREGAS]]+Tabla1[[#This Row],[TARJETAS]]+Tabla1[[#This Row],[NEQUI O QR]]+Tabla1[[#This Row],[VENTAS FE.CREDITO]]-Tabla1[[#This Row],[VENTAS NETAS]]-Tabla1[[#This Row],[BASE ANTERIOR]]</f>
        <v>9850</v>
      </c>
    </row>
    <row r="512" spans="1:13" ht="13.5" customHeight="1" x14ac:dyDescent="0.2">
      <c r="A512" s="1">
        <v>6178</v>
      </c>
      <c r="B512" s="2">
        <v>45617</v>
      </c>
      <c r="C512" s="3" t="s">
        <v>110</v>
      </c>
      <c r="D512" s="1" t="s">
        <v>16</v>
      </c>
      <c r="E512" s="1" t="s">
        <v>23</v>
      </c>
      <c r="F512" s="4">
        <v>3319200</v>
      </c>
      <c r="G512" s="4">
        <v>3300000</v>
      </c>
      <c r="H512" s="4">
        <v>210200</v>
      </c>
      <c r="I512" s="4">
        <v>13000</v>
      </c>
      <c r="J512" s="4">
        <v>12200</v>
      </c>
      <c r="K512" s="4">
        <v>816500</v>
      </c>
      <c r="L512" s="4">
        <v>1034450</v>
      </c>
      <c r="M512" s="4">
        <f>Tabla1[[#This Row],[BASE DEL DIA]]+Tabla1[[#This Row],[ENTREGAS]]+Tabla1[[#This Row],[TARJETAS]]+Tabla1[[#This Row],[NEQUI O QR]]+Tabla1[[#This Row],[VENTAS FE.CREDITO]]-Tabla1[[#This Row],[VENTAS NETAS]]-Tabla1[[#This Row],[BASE ANTERIOR]]</f>
        <v>-1750</v>
      </c>
    </row>
    <row r="513" spans="1:13" ht="13.5" customHeight="1" x14ac:dyDescent="0.2">
      <c r="A513" s="1">
        <v>6177</v>
      </c>
      <c r="B513" s="2">
        <v>45617</v>
      </c>
      <c r="C513" s="3" t="s">
        <v>76</v>
      </c>
      <c r="D513" s="1" t="s">
        <v>18</v>
      </c>
      <c r="E513" s="1" t="s">
        <v>22</v>
      </c>
      <c r="F513" s="4">
        <v>3043400</v>
      </c>
      <c r="G513" s="4">
        <v>2750000</v>
      </c>
      <c r="H513" s="4">
        <v>88900</v>
      </c>
      <c r="I513" s="4">
        <v>179300</v>
      </c>
      <c r="J513" s="4">
        <v>36400</v>
      </c>
      <c r="K513" s="4">
        <v>1034450</v>
      </c>
      <c r="L513" s="4">
        <v>1043450</v>
      </c>
      <c r="M513" s="4">
        <f>Tabla1[[#This Row],[BASE DEL DIA]]+Tabla1[[#This Row],[ENTREGAS]]+Tabla1[[#This Row],[TARJETAS]]+Tabla1[[#This Row],[NEQUI O QR]]+Tabla1[[#This Row],[VENTAS FE.CREDITO]]-Tabla1[[#This Row],[VENTAS NETAS]]-Tabla1[[#This Row],[BASE ANTERIOR]]</f>
        <v>2200</v>
      </c>
    </row>
    <row r="514" spans="1:13" ht="13.5" customHeight="1" x14ac:dyDescent="0.2">
      <c r="A514" s="1">
        <v>6176</v>
      </c>
      <c r="B514" s="2">
        <v>45616</v>
      </c>
      <c r="C514" s="3" t="s">
        <v>107</v>
      </c>
      <c r="D514" s="1" t="s">
        <v>18</v>
      </c>
      <c r="E514" s="1" t="s">
        <v>23</v>
      </c>
      <c r="F514" s="4">
        <v>4309400</v>
      </c>
      <c r="G514" s="4">
        <v>3527500</v>
      </c>
      <c r="H514" s="4">
        <v>668200</v>
      </c>
      <c r="I514" s="4">
        <v>30900</v>
      </c>
      <c r="J514" s="4">
        <v>35100</v>
      </c>
      <c r="K514" s="4">
        <v>1043450</v>
      </c>
      <c r="L514" s="4">
        <v>995450</v>
      </c>
      <c r="M514" s="4">
        <f>Tabla1[[#This Row],[BASE DEL DIA]]+Tabla1[[#This Row],[ENTREGAS]]+Tabla1[[#This Row],[TARJETAS]]+Tabla1[[#This Row],[NEQUI O QR]]+Tabla1[[#This Row],[VENTAS FE.CREDITO]]-Tabla1[[#This Row],[VENTAS NETAS]]-Tabla1[[#This Row],[BASE ANTERIOR]]</f>
        <v>300</v>
      </c>
    </row>
    <row r="515" spans="1:13" ht="13.5" customHeight="1" x14ac:dyDescent="0.2">
      <c r="A515" s="1">
        <v>6175</v>
      </c>
      <c r="B515" s="2">
        <v>45616</v>
      </c>
      <c r="C515" s="3" t="s">
        <v>91</v>
      </c>
      <c r="D515" s="1" t="s">
        <v>16</v>
      </c>
      <c r="E515" s="1" t="s">
        <v>22</v>
      </c>
      <c r="F515" s="4">
        <v>3194700</v>
      </c>
      <c r="G515" s="4">
        <v>2490000</v>
      </c>
      <c r="H515" s="4">
        <v>567200</v>
      </c>
      <c r="I515" s="4">
        <v>0</v>
      </c>
      <c r="J515" s="4">
        <v>0</v>
      </c>
      <c r="K515" s="4">
        <v>995450</v>
      </c>
      <c r="L515" s="4">
        <v>856300</v>
      </c>
      <c r="M515" s="4">
        <f>Tabla1[[#This Row],[BASE DEL DIA]]+Tabla1[[#This Row],[ENTREGAS]]+Tabla1[[#This Row],[TARJETAS]]+Tabla1[[#This Row],[NEQUI O QR]]+Tabla1[[#This Row],[VENTAS FE.CREDITO]]-Tabla1[[#This Row],[VENTAS NETAS]]-Tabla1[[#This Row],[BASE ANTERIOR]]</f>
        <v>1650</v>
      </c>
    </row>
    <row r="516" spans="1:13" ht="13.5" customHeight="1" x14ac:dyDescent="0.2">
      <c r="A516" s="1">
        <v>6174</v>
      </c>
      <c r="B516" s="2">
        <v>45615</v>
      </c>
      <c r="C516" s="3" t="s">
        <v>154</v>
      </c>
      <c r="D516" s="1" t="s">
        <v>16</v>
      </c>
      <c r="E516" s="1" t="s">
        <v>22</v>
      </c>
      <c r="F516" s="4">
        <v>4761500</v>
      </c>
      <c r="G516" s="4">
        <v>4510000</v>
      </c>
      <c r="H516" s="4">
        <v>248900</v>
      </c>
      <c r="I516" s="4">
        <v>99900</v>
      </c>
      <c r="J516" s="4">
        <v>12100</v>
      </c>
      <c r="K516" s="4">
        <v>856300</v>
      </c>
      <c r="L516" s="4">
        <v>959750</v>
      </c>
      <c r="M516" s="4">
        <f>Tabla1[[#This Row],[BASE DEL DIA]]+Tabla1[[#This Row],[ENTREGAS]]+Tabla1[[#This Row],[TARJETAS]]+Tabla1[[#This Row],[NEQUI O QR]]+Tabla1[[#This Row],[VENTAS FE.CREDITO]]-Tabla1[[#This Row],[VENTAS NETAS]]-Tabla1[[#This Row],[BASE ANTERIOR]]</f>
        <v>5950</v>
      </c>
    </row>
    <row r="517" spans="1:13" ht="13.5" customHeight="1" x14ac:dyDescent="0.2">
      <c r="A517" s="1">
        <v>6173</v>
      </c>
      <c r="B517" s="2">
        <v>45615</v>
      </c>
      <c r="C517" s="3" t="s">
        <v>80</v>
      </c>
      <c r="D517" s="1" t="s">
        <v>18</v>
      </c>
      <c r="E517" s="1" t="s">
        <v>22</v>
      </c>
      <c r="F517" s="4">
        <v>2299700</v>
      </c>
      <c r="G517" s="4">
        <v>2250000</v>
      </c>
      <c r="H517" s="4">
        <v>59000</v>
      </c>
      <c r="I517" s="4">
        <v>4900</v>
      </c>
      <c r="J517" s="4">
        <v>1700</v>
      </c>
      <c r="K517" s="4">
        <v>959750</v>
      </c>
      <c r="L517" s="4">
        <v>975100</v>
      </c>
      <c r="M517" s="4">
        <f>Tabla1[[#This Row],[BASE DEL DIA]]+Tabla1[[#This Row],[ENTREGAS]]+Tabla1[[#This Row],[TARJETAS]]+Tabla1[[#This Row],[NEQUI O QR]]+Tabla1[[#This Row],[VENTAS FE.CREDITO]]-Tabla1[[#This Row],[VENTAS NETAS]]-Tabla1[[#This Row],[BASE ANTERIOR]]</f>
        <v>550</v>
      </c>
    </row>
    <row r="518" spans="1:13" ht="13.5" customHeight="1" x14ac:dyDescent="0.2">
      <c r="A518" s="1">
        <v>6172</v>
      </c>
      <c r="B518" s="2">
        <v>45614</v>
      </c>
      <c r="C518" s="3" t="s">
        <v>96</v>
      </c>
      <c r="D518" s="1" t="s">
        <v>18</v>
      </c>
      <c r="E518" s="1" t="s">
        <v>23</v>
      </c>
      <c r="F518" s="4">
        <v>5279800</v>
      </c>
      <c r="G518" s="4">
        <v>4620000</v>
      </c>
      <c r="H518" s="4">
        <v>531700</v>
      </c>
      <c r="I518" s="4">
        <v>38900</v>
      </c>
      <c r="J518" s="4">
        <v>16000</v>
      </c>
      <c r="K518" s="4">
        <v>975100</v>
      </c>
      <c r="L518" s="4">
        <v>901000</v>
      </c>
      <c r="M518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519" spans="1:13" ht="13.5" customHeight="1" x14ac:dyDescent="0.2">
      <c r="A519" s="1">
        <v>6171</v>
      </c>
      <c r="B519" s="2">
        <v>45614</v>
      </c>
      <c r="C519" s="3" t="s">
        <v>53</v>
      </c>
      <c r="D519" s="1" t="s">
        <v>16</v>
      </c>
      <c r="E519" s="1" t="s">
        <v>22</v>
      </c>
      <c r="F519" s="4">
        <v>2544900</v>
      </c>
      <c r="G519" s="4">
        <v>2360000</v>
      </c>
      <c r="H519" s="4">
        <v>260900</v>
      </c>
      <c r="I519" s="4">
        <v>0</v>
      </c>
      <c r="J519" s="4">
        <v>0</v>
      </c>
      <c r="K519" s="4">
        <v>901000</v>
      </c>
      <c r="L519" s="4">
        <v>974950</v>
      </c>
      <c r="M519" s="4">
        <f>Tabla1[[#This Row],[BASE DEL DIA]]+Tabla1[[#This Row],[ENTREGAS]]+Tabla1[[#This Row],[TARJETAS]]+Tabla1[[#This Row],[NEQUI O QR]]+Tabla1[[#This Row],[VENTAS FE.CREDITO]]-Tabla1[[#This Row],[VENTAS NETAS]]-Tabla1[[#This Row],[BASE ANTERIOR]]</f>
        <v>2050</v>
      </c>
    </row>
    <row r="520" spans="1:13" ht="13.5" customHeight="1" x14ac:dyDescent="0.2">
      <c r="A520" s="1">
        <v>6171</v>
      </c>
      <c r="B520" s="2">
        <v>45613</v>
      </c>
      <c r="C520" s="3" t="s">
        <v>163</v>
      </c>
      <c r="D520" s="1" t="s">
        <v>98</v>
      </c>
      <c r="E520" s="1" t="s">
        <v>23</v>
      </c>
      <c r="F520" s="4">
        <v>5002000</v>
      </c>
      <c r="G520" s="4">
        <v>4420000</v>
      </c>
      <c r="H520" s="4">
        <v>363100</v>
      </c>
      <c r="I520" s="4">
        <v>218200</v>
      </c>
      <c r="J520" s="4">
        <v>16700</v>
      </c>
      <c r="K520" s="4">
        <v>974950</v>
      </c>
      <c r="L520" s="4">
        <v>984050</v>
      </c>
      <c r="M520" s="4">
        <f>Tabla1[[#This Row],[BASE DEL DIA]]+Tabla1[[#This Row],[ENTREGAS]]+Tabla1[[#This Row],[TARJETAS]]+Tabla1[[#This Row],[NEQUI O QR]]+Tabla1[[#This Row],[VENTAS FE.CREDITO]]-Tabla1[[#This Row],[VENTAS NETAS]]-Tabla1[[#This Row],[BASE ANTERIOR]]</f>
        <v>6900</v>
      </c>
    </row>
    <row r="521" spans="1:13" ht="13.5" customHeight="1" x14ac:dyDescent="0.2">
      <c r="A521" s="1">
        <v>6170</v>
      </c>
      <c r="B521" s="2">
        <v>45613</v>
      </c>
      <c r="C521" s="3" t="s">
        <v>111</v>
      </c>
      <c r="D521" s="1" t="s">
        <v>133</v>
      </c>
      <c r="E521" s="1" t="s">
        <v>22</v>
      </c>
      <c r="F521" s="4">
        <v>4472000</v>
      </c>
      <c r="G521" s="4">
        <v>3933400</v>
      </c>
      <c r="H521" s="4">
        <v>275300</v>
      </c>
      <c r="I521" s="4">
        <v>0</v>
      </c>
      <c r="J521" s="4">
        <v>153100</v>
      </c>
      <c r="K521" s="4">
        <v>984050</v>
      </c>
      <c r="L521" s="4">
        <v>871600</v>
      </c>
      <c r="M521" s="4">
        <f>Tabla1[[#This Row],[BASE DEL DIA]]+Tabla1[[#This Row],[ENTREGAS]]+Tabla1[[#This Row],[TARJETAS]]+Tabla1[[#This Row],[NEQUI O QR]]+Tabla1[[#This Row],[VENTAS FE.CREDITO]]-Tabla1[[#This Row],[VENTAS NETAS]]-Tabla1[[#This Row],[BASE ANTERIOR]]</f>
        <v>2250</v>
      </c>
    </row>
    <row r="522" spans="1:13" ht="13.5" customHeight="1" x14ac:dyDescent="0.2">
      <c r="A522" s="1">
        <v>6169</v>
      </c>
      <c r="B522" s="2">
        <v>45612</v>
      </c>
      <c r="C522" s="3" t="s">
        <v>130</v>
      </c>
      <c r="D522" s="1" t="s">
        <v>17</v>
      </c>
      <c r="E522" s="1" t="s">
        <v>23</v>
      </c>
      <c r="F522" s="4">
        <v>4736250</v>
      </c>
      <c r="G522" s="4">
        <v>3998000</v>
      </c>
      <c r="H522" s="4">
        <v>789350</v>
      </c>
      <c r="I522" s="4">
        <v>0</v>
      </c>
      <c r="J522" s="4">
        <v>21000</v>
      </c>
      <c r="K522" s="4">
        <v>871600</v>
      </c>
      <c r="L522" s="4">
        <v>942300</v>
      </c>
      <c r="M522" s="4">
        <f>Tabla1[[#This Row],[BASE DEL DIA]]+Tabla1[[#This Row],[ENTREGAS]]+Tabla1[[#This Row],[TARJETAS]]+Tabla1[[#This Row],[NEQUI O QR]]+Tabla1[[#This Row],[VENTAS FE.CREDITO]]-Tabla1[[#This Row],[VENTAS NETAS]]-Tabla1[[#This Row],[BASE ANTERIOR]]</f>
        <v>1400</v>
      </c>
    </row>
    <row r="523" spans="1:13" ht="13.5" customHeight="1" x14ac:dyDescent="0.2">
      <c r="A523" s="1">
        <v>6168</v>
      </c>
      <c r="B523" s="2">
        <v>45612</v>
      </c>
      <c r="C523" s="3" t="s">
        <v>67</v>
      </c>
      <c r="D523" s="1" t="s">
        <v>98</v>
      </c>
      <c r="E523" s="1" t="s">
        <v>23</v>
      </c>
      <c r="F523" s="4">
        <v>3539850</v>
      </c>
      <c r="G523" s="4">
        <v>2560000</v>
      </c>
      <c r="H523" s="4">
        <v>769200</v>
      </c>
      <c r="I523" s="4">
        <v>33200</v>
      </c>
      <c r="J523" s="4">
        <v>47900</v>
      </c>
      <c r="K523" s="4">
        <v>922300</v>
      </c>
      <c r="L523" s="4">
        <v>806550</v>
      </c>
      <c r="M523" s="4">
        <f>Tabla1[[#This Row],[BASE DEL DIA]]+Tabla1[[#This Row],[ENTREGAS]]+Tabla1[[#This Row],[TARJETAS]]+Tabla1[[#This Row],[NEQUI O QR]]+Tabla1[[#This Row],[VENTAS FE.CREDITO]]-Tabla1[[#This Row],[VENTAS NETAS]]-Tabla1[[#This Row],[BASE ANTERIOR]]</f>
        <v>-13800</v>
      </c>
    </row>
    <row r="524" spans="1:13" ht="13.5" customHeight="1" x14ac:dyDescent="0.2">
      <c r="A524" s="1">
        <v>6167</v>
      </c>
      <c r="B524" s="2">
        <v>45611</v>
      </c>
      <c r="C524" s="3" t="s">
        <v>106</v>
      </c>
      <c r="D524" s="1" t="s">
        <v>98</v>
      </c>
      <c r="E524" s="1" t="s">
        <v>23</v>
      </c>
      <c r="F524" s="4">
        <v>3601400</v>
      </c>
      <c r="G524" s="4">
        <v>3377700</v>
      </c>
      <c r="H524" s="4">
        <v>197700</v>
      </c>
      <c r="I524" s="4">
        <v>141700</v>
      </c>
      <c r="J524" s="4">
        <v>4400</v>
      </c>
      <c r="K524" s="4">
        <v>806550</v>
      </c>
      <c r="L524" s="4">
        <v>925750</v>
      </c>
      <c r="M524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525" spans="1:13" ht="13.5" customHeight="1" x14ac:dyDescent="0.2">
      <c r="B525" s="2">
        <v>45611</v>
      </c>
      <c r="C525" s="3" t="s">
        <v>120</v>
      </c>
      <c r="D525" s="1" t="s">
        <v>17</v>
      </c>
      <c r="E525" s="1" t="s">
        <v>23</v>
      </c>
      <c r="F525" s="4">
        <v>2687500</v>
      </c>
      <c r="G525" s="4">
        <v>2568850</v>
      </c>
      <c r="H525" s="4">
        <v>49800</v>
      </c>
      <c r="I525" s="4">
        <v>16400</v>
      </c>
      <c r="J525" s="4">
        <v>2400</v>
      </c>
      <c r="K525" s="4">
        <v>925750</v>
      </c>
      <c r="L525" s="4">
        <v>877950</v>
      </c>
      <c r="M525" s="4">
        <f>Tabla1[[#This Row],[BASE DEL DIA]]+Tabla1[[#This Row],[ENTREGAS]]+Tabla1[[#This Row],[TARJETAS]]+Tabla1[[#This Row],[NEQUI O QR]]+Tabla1[[#This Row],[VENTAS FE.CREDITO]]-Tabla1[[#This Row],[VENTAS NETAS]]-Tabla1[[#This Row],[BASE ANTERIOR]]</f>
        <v>-2250</v>
      </c>
    </row>
    <row r="526" spans="1:13" ht="13.5" customHeight="1" x14ac:dyDescent="0.2">
      <c r="A526" s="1">
        <v>6164</v>
      </c>
      <c r="B526" s="2">
        <v>45610</v>
      </c>
      <c r="C526" s="3" t="s">
        <v>110</v>
      </c>
      <c r="D526" s="1" t="s">
        <v>17</v>
      </c>
      <c r="E526" s="1" t="s">
        <v>23</v>
      </c>
      <c r="F526" s="4">
        <v>3545800</v>
      </c>
      <c r="G526" s="4">
        <v>3402000</v>
      </c>
      <c r="H526" s="4">
        <v>155700</v>
      </c>
      <c r="I526" s="4">
        <v>30700</v>
      </c>
      <c r="J526" s="4">
        <v>6200</v>
      </c>
      <c r="K526" s="4">
        <v>877950</v>
      </c>
      <c r="L526" s="4">
        <v>925700</v>
      </c>
      <c r="M526" s="4">
        <f>Tabla1[[#This Row],[BASE DEL DIA]]+Tabla1[[#This Row],[ENTREGAS]]+Tabla1[[#This Row],[TARJETAS]]+Tabla1[[#This Row],[NEQUI O QR]]+Tabla1[[#This Row],[VENTAS FE.CREDITO]]-Tabla1[[#This Row],[VENTAS NETAS]]-Tabla1[[#This Row],[BASE ANTERIOR]]</f>
        <v>1050</v>
      </c>
    </row>
    <row r="527" spans="1:13" ht="13.5" customHeight="1" x14ac:dyDescent="0.2">
      <c r="A527" s="1">
        <v>6164</v>
      </c>
      <c r="B527" s="2">
        <v>45610</v>
      </c>
      <c r="C527" s="3" t="s">
        <v>151</v>
      </c>
      <c r="D527" s="1" t="s">
        <v>98</v>
      </c>
      <c r="E527" s="1" t="s">
        <v>22</v>
      </c>
      <c r="F527" s="4">
        <v>1687400</v>
      </c>
      <c r="G527" s="4">
        <v>1601850</v>
      </c>
      <c r="H527" s="4">
        <v>29800</v>
      </c>
      <c r="I527" s="4">
        <v>8400</v>
      </c>
      <c r="J527" s="4">
        <v>16900</v>
      </c>
      <c r="K527" s="4">
        <v>925700</v>
      </c>
      <c r="L527" s="4">
        <v>890900</v>
      </c>
      <c r="M527" s="4">
        <f>Tabla1[[#This Row],[BASE DEL DIA]]+Tabla1[[#This Row],[ENTREGAS]]+Tabla1[[#This Row],[TARJETAS]]+Tabla1[[#This Row],[NEQUI O QR]]+Tabla1[[#This Row],[VENTAS FE.CREDITO]]-Tabla1[[#This Row],[VENTAS NETAS]]-Tabla1[[#This Row],[BASE ANTERIOR]]</f>
        <v>4350</v>
      </c>
    </row>
    <row r="528" spans="1:13" ht="13.5" customHeight="1" x14ac:dyDescent="0.2">
      <c r="A528" s="1">
        <v>6163</v>
      </c>
      <c r="B528" s="2">
        <v>45609</v>
      </c>
      <c r="C528" s="3" t="s">
        <v>105</v>
      </c>
      <c r="D528" s="1" t="s">
        <v>98</v>
      </c>
      <c r="E528" s="1" t="s">
        <v>23</v>
      </c>
      <c r="F528" s="4">
        <v>3072700</v>
      </c>
      <c r="G528" s="4">
        <v>3050000</v>
      </c>
      <c r="H528" s="4">
        <v>58700</v>
      </c>
      <c r="I528" s="4">
        <v>11800</v>
      </c>
      <c r="J528" s="4">
        <v>14800</v>
      </c>
      <c r="K528" s="4">
        <v>890900</v>
      </c>
      <c r="L528" s="4">
        <v>942800</v>
      </c>
      <c r="M528" s="4">
        <f>Tabla1[[#This Row],[BASE DEL DIA]]+Tabla1[[#This Row],[ENTREGAS]]+Tabla1[[#This Row],[TARJETAS]]+Tabla1[[#This Row],[NEQUI O QR]]+Tabla1[[#This Row],[VENTAS FE.CREDITO]]-Tabla1[[#This Row],[VENTAS NETAS]]-Tabla1[[#This Row],[BASE ANTERIOR]]</f>
        <v>10700</v>
      </c>
    </row>
    <row r="529" spans="1:13" ht="13.5" customHeight="1" x14ac:dyDescent="0.2">
      <c r="A529" s="1">
        <v>6162</v>
      </c>
      <c r="B529" s="2">
        <v>45609</v>
      </c>
      <c r="C529" s="3" t="s">
        <v>162</v>
      </c>
      <c r="D529" s="1" t="s">
        <v>17</v>
      </c>
      <c r="E529" s="1" t="s">
        <v>22</v>
      </c>
      <c r="F529" s="4">
        <v>2116050</v>
      </c>
      <c r="G529" s="4">
        <v>2013800</v>
      </c>
      <c r="H529" s="4">
        <v>67200</v>
      </c>
      <c r="I529" s="4">
        <v>0</v>
      </c>
      <c r="J529" s="4">
        <v>0</v>
      </c>
      <c r="K529" s="4">
        <v>942800</v>
      </c>
      <c r="L529" s="4">
        <v>917350</v>
      </c>
      <c r="M529" s="4">
        <f>Tabla1[[#This Row],[BASE DEL DIA]]+Tabla1[[#This Row],[ENTREGAS]]+Tabla1[[#This Row],[TARJETAS]]+Tabla1[[#This Row],[NEQUI O QR]]+Tabla1[[#This Row],[VENTAS FE.CREDITO]]-Tabla1[[#This Row],[VENTAS NETAS]]-Tabla1[[#This Row],[BASE ANTERIOR]]</f>
        <v>-9600</v>
      </c>
    </row>
    <row r="530" spans="1:13" ht="13.5" customHeight="1" x14ac:dyDescent="0.2">
      <c r="A530" s="1">
        <v>6161</v>
      </c>
      <c r="B530" s="2">
        <v>45608</v>
      </c>
      <c r="C530" s="3" t="s">
        <v>107</v>
      </c>
      <c r="D530" s="1" t="s">
        <v>17</v>
      </c>
      <c r="E530" s="1" t="s">
        <v>23</v>
      </c>
      <c r="F530" s="4">
        <v>2719300</v>
      </c>
      <c r="G530" s="4">
        <v>2648350</v>
      </c>
      <c r="H530" s="4">
        <v>0</v>
      </c>
      <c r="I530" s="4">
        <v>56300</v>
      </c>
      <c r="J530" s="4">
        <v>29900</v>
      </c>
      <c r="K530" s="4">
        <v>917350</v>
      </c>
      <c r="L530" s="4">
        <v>919200</v>
      </c>
      <c r="M530" s="4">
        <f>Tabla1[[#This Row],[BASE DEL DIA]]+Tabla1[[#This Row],[ENTREGAS]]+Tabla1[[#This Row],[TARJETAS]]+Tabla1[[#This Row],[NEQUI O QR]]+Tabla1[[#This Row],[VENTAS FE.CREDITO]]-Tabla1[[#This Row],[VENTAS NETAS]]-Tabla1[[#This Row],[BASE ANTERIOR]]</f>
        <v>13400</v>
      </c>
    </row>
    <row r="531" spans="1:13" ht="13.5" customHeight="1" x14ac:dyDescent="0.2">
      <c r="A531" s="1">
        <v>6160</v>
      </c>
      <c r="B531" s="2">
        <v>45608</v>
      </c>
      <c r="C531" s="3" t="s">
        <v>86</v>
      </c>
      <c r="D531" s="1" t="s">
        <v>98</v>
      </c>
      <c r="E531" s="1" t="s">
        <v>22</v>
      </c>
      <c r="F531" s="4">
        <v>2005549</v>
      </c>
      <c r="G531" s="4">
        <v>1945500</v>
      </c>
      <c r="H531" s="4">
        <v>0</v>
      </c>
      <c r="I531" s="4">
        <v>20300</v>
      </c>
      <c r="J531" s="4">
        <v>0</v>
      </c>
      <c r="K531" s="4">
        <v>919200</v>
      </c>
      <c r="L531" s="4">
        <v>881750</v>
      </c>
      <c r="M531" s="4">
        <f>Tabla1[[#This Row],[BASE DEL DIA]]+Tabla1[[#This Row],[ENTREGAS]]+Tabla1[[#This Row],[TARJETAS]]+Tabla1[[#This Row],[NEQUI O QR]]+Tabla1[[#This Row],[VENTAS FE.CREDITO]]-Tabla1[[#This Row],[VENTAS NETAS]]-Tabla1[[#This Row],[BASE ANTERIOR]]</f>
        <v>-2299</v>
      </c>
    </row>
    <row r="532" spans="1:13" ht="13.5" customHeight="1" x14ac:dyDescent="0.2">
      <c r="A532" s="1">
        <v>6159</v>
      </c>
      <c r="B532" s="2">
        <v>45607</v>
      </c>
      <c r="C532" s="3" t="s">
        <v>161</v>
      </c>
      <c r="D532" s="1" t="s">
        <v>98</v>
      </c>
      <c r="E532" s="1" t="s">
        <v>23</v>
      </c>
      <c r="F532" s="4">
        <v>3292300</v>
      </c>
      <c r="G532" s="4">
        <v>3162000</v>
      </c>
      <c r="H532" s="4">
        <v>183600</v>
      </c>
      <c r="I532" s="4">
        <v>0</v>
      </c>
      <c r="J532" s="4">
        <v>0</v>
      </c>
      <c r="K532" s="4">
        <v>881750</v>
      </c>
      <c r="L532" s="4">
        <v>937150</v>
      </c>
      <c r="M532" s="4">
        <f>Tabla1[[#This Row],[BASE DEL DIA]]+Tabla1[[#This Row],[ENTREGAS]]+Tabla1[[#This Row],[TARJETAS]]+Tabla1[[#This Row],[NEQUI O QR]]+Tabla1[[#This Row],[VENTAS FE.CREDITO]]-Tabla1[[#This Row],[VENTAS NETAS]]-Tabla1[[#This Row],[BASE ANTERIOR]]</f>
        <v>-2100</v>
      </c>
    </row>
    <row r="533" spans="1:13" ht="13.5" customHeight="1" x14ac:dyDescent="0.2">
      <c r="A533" s="1">
        <v>6158</v>
      </c>
      <c r="B533" s="2">
        <v>45607</v>
      </c>
      <c r="C533" s="3" t="s">
        <v>47</v>
      </c>
      <c r="D533" s="1" t="s">
        <v>17</v>
      </c>
      <c r="E533" s="1" t="s">
        <v>22</v>
      </c>
      <c r="F533" s="4">
        <v>3209100</v>
      </c>
      <c r="G533" s="4">
        <v>3160000</v>
      </c>
      <c r="H533" s="4">
        <v>81100</v>
      </c>
      <c r="I533" s="4">
        <v>9600</v>
      </c>
      <c r="J533" s="4">
        <v>0</v>
      </c>
      <c r="K533" s="4">
        <v>937150</v>
      </c>
      <c r="L533" s="4">
        <v>978500</v>
      </c>
      <c r="M533" s="4">
        <f>Tabla1[[#This Row],[BASE DEL DIA]]+Tabla1[[#This Row],[ENTREGAS]]+Tabla1[[#This Row],[TARJETAS]]+Tabla1[[#This Row],[NEQUI O QR]]+Tabla1[[#This Row],[VENTAS FE.CREDITO]]-Tabla1[[#This Row],[VENTAS NETAS]]-Tabla1[[#This Row],[BASE ANTERIOR]]</f>
        <v>250</v>
      </c>
    </row>
    <row r="534" spans="1:13" ht="13.5" customHeight="1" x14ac:dyDescent="0.2">
      <c r="A534" s="1">
        <v>6157</v>
      </c>
      <c r="B534" s="2">
        <v>45606</v>
      </c>
      <c r="C534" s="3" t="s">
        <v>161</v>
      </c>
      <c r="D534" s="1" t="s">
        <v>18</v>
      </c>
      <c r="E534" s="1" t="s">
        <v>23</v>
      </c>
      <c r="F534" s="4">
        <v>4241400</v>
      </c>
      <c r="G534" s="4">
        <v>3630000</v>
      </c>
      <c r="H534" s="4">
        <v>163100</v>
      </c>
      <c r="I534" s="4">
        <v>331100</v>
      </c>
      <c r="J534" s="4">
        <v>2700</v>
      </c>
      <c r="K534" s="4">
        <v>978500</v>
      </c>
      <c r="L534" s="4">
        <v>865000</v>
      </c>
      <c r="M534" s="4">
        <f>Tabla1[[#This Row],[BASE DEL DIA]]+Tabla1[[#This Row],[ENTREGAS]]+Tabla1[[#This Row],[TARJETAS]]+Tabla1[[#This Row],[NEQUI O QR]]+Tabla1[[#This Row],[VENTAS FE.CREDITO]]-Tabla1[[#This Row],[VENTAS NETAS]]-Tabla1[[#This Row],[BASE ANTERIOR]]</f>
        <v>-1000</v>
      </c>
    </row>
    <row r="535" spans="1:13" ht="13.5" customHeight="1" x14ac:dyDescent="0.2">
      <c r="A535" s="1">
        <v>6156</v>
      </c>
      <c r="B535" s="2">
        <v>45606</v>
      </c>
      <c r="C535" s="3" t="s">
        <v>67</v>
      </c>
      <c r="D535" s="1" t="s">
        <v>133</v>
      </c>
      <c r="E535" s="1" t="s">
        <v>22</v>
      </c>
      <c r="F535" s="4">
        <v>3564400</v>
      </c>
      <c r="G535" s="4">
        <v>3609900</v>
      </c>
      <c r="H535" s="4">
        <v>60100</v>
      </c>
      <c r="I535" s="4">
        <v>13400</v>
      </c>
      <c r="J535" s="4">
        <v>0</v>
      </c>
      <c r="K535" s="4">
        <v>865000</v>
      </c>
      <c r="L535" s="4">
        <v>986150</v>
      </c>
      <c r="M535" s="4">
        <f>Tabla1[[#This Row],[BASE DEL DIA]]+Tabla1[[#This Row],[ENTREGAS]]+Tabla1[[#This Row],[TARJETAS]]+Tabla1[[#This Row],[NEQUI O QR]]+Tabla1[[#This Row],[VENTAS FE.CREDITO]]-Tabla1[[#This Row],[VENTAS NETAS]]-Tabla1[[#This Row],[BASE ANTERIOR]]</f>
        <v>-2150</v>
      </c>
    </row>
    <row r="536" spans="1:13" ht="13.5" customHeight="1" x14ac:dyDescent="0.2">
      <c r="B536" s="2">
        <v>45605</v>
      </c>
      <c r="C536" s="3" t="s">
        <v>107</v>
      </c>
      <c r="D536" s="1" t="s">
        <v>16</v>
      </c>
      <c r="E536" s="1" t="s">
        <v>23</v>
      </c>
      <c r="M536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537" spans="1:13" ht="13.5" customHeight="1" x14ac:dyDescent="0.2">
      <c r="A537" s="1">
        <v>6155</v>
      </c>
      <c r="B537" s="2">
        <v>45605</v>
      </c>
      <c r="C537" s="3" t="s">
        <v>107</v>
      </c>
      <c r="D537" s="1" t="s">
        <v>16</v>
      </c>
      <c r="E537" s="1" t="s">
        <v>23</v>
      </c>
      <c r="F537" s="4">
        <v>4814500</v>
      </c>
      <c r="G537" s="4">
        <v>4510500</v>
      </c>
      <c r="H537" s="4">
        <v>242400</v>
      </c>
      <c r="I537" s="4">
        <v>27800</v>
      </c>
      <c r="J537" s="4">
        <v>10000</v>
      </c>
      <c r="K537" s="4">
        <v>986150</v>
      </c>
      <c r="L537" s="4">
        <v>945500</v>
      </c>
      <c r="M537" s="4">
        <f>Tabla1[[#This Row],[BASE DEL DIA]]+Tabla1[[#This Row],[ENTREGAS]]+Tabla1[[#This Row],[TARJETAS]]+Tabla1[[#This Row],[NEQUI O QR]]+Tabla1[[#This Row],[VENTAS FE.CREDITO]]-Tabla1[[#This Row],[VENTAS NETAS]]-Tabla1[[#This Row],[BASE ANTERIOR]]</f>
        <v>16850</v>
      </c>
    </row>
    <row r="538" spans="1:13" ht="13.5" customHeight="1" x14ac:dyDescent="0.2">
      <c r="A538" s="1">
        <v>6154</v>
      </c>
      <c r="B538" s="2">
        <v>45605</v>
      </c>
      <c r="C538" s="3" t="s">
        <v>74</v>
      </c>
      <c r="D538" s="1" t="s">
        <v>18</v>
      </c>
      <c r="E538" s="1" t="s">
        <v>22</v>
      </c>
      <c r="F538" s="4">
        <v>2994000</v>
      </c>
      <c r="G538" s="4">
        <v>2754500</v>
      </c>
      <c r="H538" s="4">
        <v>275800</v>
      </c>
      <c r="I538" s="4">
        <v>0</v>
      </c>
      <c r="J538" s="4">
        <v>5900</v>
      </c>
      <c r="K538" s="4">
        <v>945550</v>
      </c>
      <c r="L538" s="4">
        <v>988200</v>
      </c>
      <c r="M538" s="4">
        <f>Tabla1[[#This Row],[BASE DEL DIA]]+Tabla1[[#This Row],[ENTREGAS]]+Tabla1[[#This Row],[TARJETAS]]+Tabla1[[#This Row],[NEQUI O QR]]+Tabla1[[#This Row],[VENTAS FE.CREDITO]]-Tabla1[[#This Row],[VENTAS NETAS]]-Tabla1[[#This Row],[BASE ANTERIOR]]</f>
        <v>-450</v>
      </c>
    </row>
    <row r="539" spans="1:13" ht="13.5" customHeight="1" x14ac:dyDescent="0.2">
      <c r="A539" s="1">
        <v>6153</v>
      </c>
      <c r="B539" s="2">
        <v>45604</v>
      </c>
      <c r="C539" s="3" t="s">
        <v>110</v>
      </c>
      <c r="D539" s="1" t="s">
        <v>18</v>
      </c>
      <c r="E539" s="1" t="s">
        <v>23</v>
      </c>
      <c r="F539" s="4">
        <v>3178200</v>
      </c>
      <c r="G539" s="4">
        <v>3090000</v>
      </c>
      <c r="H539" s="4">
        <v>113800</v>
      </c>
      <c r="I539" s="4">
        <v>2000</v>
      </c>
      <c r="J539" s="4">
        <v>0</v>
      </c>
      <c r="K539" s="4">
        <v>988200</v>
      </c>
      <c r="L539" s="4">
        <v>1013800</v>
      </c>
      <c r="M539" s="4">
        <f>Tabla1[[#This Row],[BASE DEL DIA]]+Tabla1[[#This Row],[ENTREGAS]]+Tabla1[[#This Row],[TARJETAS]]+Tabla1[[#This Row],[NEQUI O QR]]+Tabla1[[#This Row],[VENTAS FE.CREDITO]]-Tabla1[[#This Row],[VENTAS NETAS]]-Tabla1[[#This Row],[BASE ANTERIOR]]</f>
        <v>2000</v>
      </c>
    </row>
    <row r="540" spans="1:13" ht="13.5" customHeight="1" x14ac:dyDescent="0.2">
      <c r="A540" s="1">
        <v>6152</v>
      </c>
      <c r="B540" s="2">
        <v>45604</v>
      </c>
      <c r="C540" s="3" t="s">
        <v>74</v>
      </c>
      <c r="D540" s="1" t="s">
        <v>16</v>
      </c>
      <c r="E540" s="1" t="s">
        <v>22</v>
      </c>
      <c r="F540" s="4">
        <v>2457100</v>
      </c>
      <c r="G540" s="4">
        <v>2187100</v>
      </c>
      <c r="H540" s="4">
        <v>122100</v>
      </c>
      <c r="I540" s="4">
        <v>4800</v>
      </c>
      <c r="J540" s="4">
        <v>1800</v>
      </c>
      <c r="K540" s="4">
        <v>1013800</v>
      </c>
      <c r="L540" s="4">
        <v>871000</v>
      </c>
      <c r="M540" s="4">
        <f>Tabla1[[#This Row],[BASE DEL DIA]]+Tabla1[[#This Row],[ENTREGAS]]+Tabla1[[#This Row],[TARJETAS]]+Tabla1[[#This Row],[NEQUI O QR]]+Tabla1[[#This Row],[VENTAS FE.CREDITO]]-Tabla1[[#This Row],[VENTAS NETAS]]-Tabla1[[#This Row],[BASE ANTERIOR]]</f>
        <v>1500</v>
      </c>
    </row>
    <row r="541" spans="1:13" ht="13.5" customHeight="1" x14ac:dyDescent="0.2">
      <c r="A541" s="1">
        <v>6151</v>
      </c>
      <c r="B541" s="2">
        <v>45603</v>
      </c>
      <c r="C541" s="3" t="s">
        <v>105</v>
      </c>
      <c r="D541" s="1" t="s">
        <v>16</v>
      </c>
      <c r="E541" s="1" t="s">
        <v>23</v>
      </c>
      <c r="F541" s="4">
        <v>3717550</v>
      </c>
      <c r="G541" s="4">
        <v>3820000</v>
      </c>
      <c r="H541" s="4">
        <v>42900</v>
      </c>
      <c r="I541" s="4">
        <v>0</v>
      </c>
      <c r="J541" s="4">
        <v>12600</v>
      </c>
      <c r="K541" s="4">
        <v>871000</v>
      </c>
      <c r="L541" s="4">
        <v>1025300</v>
      </c>
      <c r="M541" s="4">
        <f>Tabla1[[#This Row],[BASE DEL DIA]]+Tabla1[[#This Row],[ENTREGAS]]+Tabla1[[#This Row],[TARJETAS]]+Tabla1[[#This Row],[NEQUI O QR]]+Tabla1[[#This Row],[VENTAS FE.CREDITO]]-Tabla1[[#This Row],[VENTAS NETAS]]-Tabla1[[#This Row],[BASE ANTERIOR]]</f>
        <v>3650</v>
      </c>
    </row>
    <row r="542" spans="1:13" ht="13.5" customHeight="1" x14ac:dyDescent="0.2">
      <c r="A542" s="1">
        <v>6150</v>
      </c>
      <c r="B542" s="2">
        <v>45603</v>
      </c>
      <c r="C542" s="3" t="s">
        <v>76</v>
      </c>
      <c r="D542" s="1" t="s">
        <v>18</v>
      </c>
      <c r="E542" s="1" t="s">
        <v>22</v>
      </c>
      <c r="F542" s="4">
        <v>2119050</v>
      </c>
      <c r="G542" s="4">
        <v>2020200</v>
      </c>
      <c r="H542" s="4">
        <v>38600</v>
      </c>
      <c r="K542" s="4">
        <v>1025300</v>
      </c>
      <c r="L542" s="4">
        <v>965050</v>
      </c>
      <c r="M542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543" spans="1:13" ht="13.5" customHeight="1" x14ac:dyDescent="0.2">
      <c r="A543" s="1">
        <v>6149</v>
      </c>
      <c r="B543" s="2">
        <v>45602</v>
      </c>
      <c r="C543" s="3" t="s">
        <v>66</v>
      </c>
      <c r="D543" s="1" t="s">
        <v>18</v>
      </c>
      <c r="E543" s="1" t="s">
        <v>23</v>
      </c>
      <c r="F543" s="4">
        <v>4092700</v>
      </c>
      <c r="G543" s="4">
        <v>3645000</v>
      </c>
      <c r="H543" s="4">
        <v>259100</v>
      </c>
      <c r="I543" s="4">
        <v>187100</v>
      </c>
      <c r="J543" s="4">
        <v>7400</v>
      </c>
      <c r="K543" s="4">
        <v>965050</v>
      </c>
      <c r="L543" s="4">
        <v>969300</v>
      </c>
      <c r="M543" s="4">
        <f>Tabla1[[#This Row],[BASE DEL DIA]]+Tabla1[[#This Row],[ENTREGAS]]+Tabla1[[#This Row],[TARJETAS]]+Tabla1[[#This Row],[NEQUI O QR]]+Tabla1[[#This Row],[VENTAS FE.CREDITO]]-Tabla1[[#This Row],[VENTAS NETAS]]-Tabla1[[#This Row],[BASE ANTERIOR]]</f>
        <v>1650</v>
      </c>
    </row>
    <row r="544" spans="1:13" ht="13.5" customHeight="1" x14ac:dyDescent="0.2">
      <c r="A544" s="1">
        <v>6149</v>
      </c>
      <c r="B544" s="2">
        <v>45602</v>
      </c>
      <c r="C544" s="3" t="s">
        <v>91</v>
      </c>
      <c r="D544" s="1" t="s">
        <v>19</v>
      </c>
      <c r="E544" s="1" t="s">
        <v>22</v>
      </c>
      <c r="F544" s="4">
        <v>2884000</v>
      </c>
      <c r="G544" s="4">
        <v>2693000</v>
      </c>
      <c r="H544" s="4">
        <v>147600</v>
      </c>
      <c r="I544" s="4">
        <v>9100</v>
      </c>
      <c r="J544" s="4">
        <v>6300</v>
      </c>
      <c r="K544" s="4">
        <v>969300</v>
      </c>
      <c r="L544" s="4">
        <v>941300</v>
      </c>
      <c r="M544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545" spans="1:13" ht="13.5" customHeight="1" x14ac:dyDescent="0.2">
      <c r="A545" s="1">
        <v>6148</v>
      </c>
      <c r="B545" s="2">
        <v>45601</v>
      </c>
      <c r="C545" s="3" t="s">
        <v>130</v>
      </c>
      <c r="D545" s="1" t="s">
        <v>18</v>
      </c>
      <c r="E545" s="1" t="s">
        <v>23</v>
      </c>
      <c r="F545" s="4">
        <v>4246430</v>
      </c>
      <c r="G545" s="4">
        <v>3985000</v>
      </c>
      <c r="H545" s="4">
        <v>258200</v>
      </c>
      <c r="I545" s="4">
        <v>25100</v>
      </c>
      <c r="J545" s="4">
        <v>20700</v>
      </c>
      <c r="K545" s="4">
        <v>941300</v>
      </c>
      <c r="L545" s="4">
        <v>979200</v>
      </c>
      <c r="M545" s="4">
        <f>Tabla1[[#This Row],[BASE DEL DIA]]+Tabla1[[#This Row],[ENTREGAS]]+Tabla1[[#This Row],[TARJETAS]]+Tabla1[[#This Row],[NEQUI O QR]]+Tabla1[[#This Row],[VENTAS FE.CREDITO]]-Tabla1[[#This Row],[VENTAS NETAS]]-Tabla1[[#This Row],[BASE ANTERIOR]]</f>
        <v>4670</v>
      </c>
    </row>
    <row r="546" spans="1:13" ht="13.5" customHeight="1" x14ac:dyDescent="0.2">
      <c r="A546" s="1">
        <v>6147</v>
      </c>
      <c r="B546" s="2">
        <v>45601</v>
      </c>
      <c r="C546" s="3" t="s">
        <v>47</v>
      </c>
      <c r="D546" s="1" t="s">
        <v>18</v>
      </c>
      <c r="E546" s="1" t="s">
        <v>22</v>
      </c>
      <c r="F546" s="4">
        <v>2219500</v>
      </c>
      <c r="G546" s="4">
        <v>2063500</v>
      </c>
      <c r="H546" s="4">
        <v>83500</v>
      </c>
      <c r="I546" s="4">
        <v>0</v>
      </c>
      <c r="J546" s="4">
        <v>1600</v>
      </c>
      <c r="K546" s="4">
        <v>979200</v>
      </c>
      <c r="L546" s="4">
        <v>915400</v>
      </c>
      <c r="M546" s="4">
        <f>Tabla1[[#This Row],[BASE DEL DIA]]+Tabla1[[#This Row],[ENTREGAS]]+Tabla1[[#This Row],[TARJETAS]]+Tabla1[[#This Row],[NEQUI O QR]]+Tabla1[[#This Row],[VENTAS FE.CREDITO]]-Tabla1[[#This Row],[VENTAS NETAS]]-Tabla1[[#This Row],[BASE ANTERIOR]]</f>
        <v>-7100</v>
      </c>
    </row>
    <row r="547" spans="1:13" ht="13.5" customHeight="1" x14ac:dyDescent="0.2">
      <c r="A547" s="1">
        <v>6146</v>
      </c>
      <c r="B547" s="2">
        <v>45600</v>
      </c>
      <c r="C547" s="3" t="s">
        <v>105</v>
      </c>
      <c r="D547" s="1" t="s">
        <v>18</v>
      </c>
      <c r="E547" s="1" t="s">
        <v>23</v>
      </c>
      <c r="F547" s="4">
        <v>4983280</v>
      </c>
      <c r="G547" s="4">
        <v>4582500</v>
      </c>
      <c r="H547" s="4">
        <v>316620</v>
      </c>
      <c r="I547" s="4">
        <v>41400</v>
      </c>
      <c r="J547" s="4">
        <v>46000</v>
      </c>
      <c r="K547" s="4">
        <v>915400</v>
      </c>
      <c r="L547" s="4">
        <v>916800</v>
      </c>
      <c r="M547" s="4">
        <f>Tabla1[[#This Row],[BASE DEL DIA]]+Tabla1[[#This Row],[ENTREGAS]]+Tabla1[[#This Row],[TARJETAS]]+Tabla1[[#This Row],[NEQUI O QR]]+Tabla1[[#This Row],[VENTAS FE.CREDITO]]-Tabla1[[#This Row],[VENTAS NETAS]]-Tabla1[[#This Row],[BASE ANTERIOR]]</f>
        <v>1840</v>
      </c>
    </row>
    <row r="548" spans="1:13" ht="13.5" customHeight="1" x14ac:dyDescent="0.2">
      <c r="A548" s="1">
        <v>6145</v>
      </c>
      <c r="B548" s="2">
        <v>45600</v>
      </c>
      <c r="C548" s="3" t="s">
        <v>53</v>
      </c>
      <c r="D548" s="1" t="s">
        <v>16</v>
      </c>
      <c r="E548" s="1" t="s">
        <v>23</v>
      </c>
      <c r="F548" s="4">
        <v>5031800</v>
      </c>
      <c r="G548" s="4">
        <v>4830000</v>
      </c>
      <c r="H548" s="4">
        <v>151900</v>
      </c>
      <c r="I548" s="4">
        <v>19800</v>
      </c>
      <c r="J548" s="4">
        <v>6700</v>
      </c>
      <c r="K548" s="4">
        <v>918800</v>
      </c>
      <c r="L548" s="4">
        <v>912000</v>
      </c>
      <c r="M548" s="4">
        <f>Tabla1[[#This Row],[BASE DEL DIA]]+Tabla1[[#This Row],[ENTREGAS]]+Tabla1[[#This Row],[TARJETAS]]+Tabla1[[#This Row],[NEQUI O QR]]+Tabla1[[#This Row],[VENTAS FE.CREDITO]]-Tabla1[[#This Row],[VENTAS NETAS]]-Tabla1[[#This Row],[BASE ANTERIOR]]</f>
        <v>-16600</v>
      </c>
    </row>
    <row r="549" spans="1:13" ht="13.5" customHeight="1" x14ac:dyDescent="0.2">
      <c r="A549" s="1">
        <v>6144</v>
      </c>
      <c r="B549" s="2">
        <v>45599</v>
      </c>
      <c r="C549" s="3" t="s">
        <v>110</v>
      </c>
      <c r="D549" s="1" t="s">
        <v>98</v>
      </c>
      <c r="E549" s="1" t="s">
        <v>23</v>
      </c>
      <c r="F549" s="4">
        <v>4988750</v>
      </c>
      <c r="G549" s="4">
        <v>4450000</v>
      </c>
      <c r="H549" s="4">
        <v>309600</v>
      </c>
      <c r="I549" s="4">
        <v>0</v>
      </c>
      <c r="J549" s="4">
        <v>158600</v>
      </c>
      <c r="K549" s="4">
        <v>912000</v>
      </c>
      <c r="L549" s="4">
        <v>833350</v>
      </c>
      <c r="M549" s="4">
        <f>Tabla1[[#This Row],[BASE DEL DIA]]+Tabla1[[#This Row],[ENTREGAS]]+Tabla1[[#This Row],[TARJETAS]]+Tabla1[[#This Row],[NEQUI O QR]]+Tabla1[[#This Row],[VENTAS FE.CREDITO]]-Tabla1[[#This Row],[VENTAS NETAS]]-Tabla1[[#This Row],[BASE ANTERIOR]]</f>
        <v>8100</v>
      </c>
    </row>
    <row r="550" spans="1:13" ht="13.5" customHeight="1" x14ac:dyDescent="0.2">
      <c r="A550" s="1">
        <v>6143</v>
      </c>
      <c r="B550" s="2">
        <v>45599</v>
      </c>
      <c r="C550" s="3" t="s">
        <v>79</v>
      </c>
      <c r="D550" s="1" t="s">
        <v>17</v>
      </c>
      <c r="E550" s="1" t="s">
        <v>22</v>
      </c>
      <c r="F550" s="4">
        <v>3440600</v>
      </c>
      <c r="G550" s="4">
        <v>3325500</v>
      </c>
      <c r="H550" s="4">
        <v>194800</v>
      </c>
      <c r="I550" s="4">
        <v>32300</v>
      </c>
      <c r="J550" s="4">
        <v>0</v>
      </c>
      <c r="K550" s="4">
        <v>833350</v>
      </c>
      <c r="L550" s="4">
        <v>946100</v>
      </c>
      <c r="M550" s="4">
        <f>Tabla1[[#This Row],[BASE DEL DIA]]+Tabla1[[#This Row],[ENTREGAS]]+Tabla1[[#This Row],[TARJETAS]]+Tabla1[[#This Row],[NEQUI O QR]]+Tabla1[[#This Row],[VENTAS FE.CREDITO]]-Tabla1[[#This Row],[VENTAS NETAS]]-Tabla1[[#This Row],[BASE ANTERIOR]]</f>
        <v>-750</v>
      </c>
    </row>
    <row r="551" spans="1:13" ht="13.5" customHeight="1" x14ac:dyDescent="0.2">
      <c r="A551" s="1">
        <v>6142</v>
      </c>
      <c r="B551" s="2">
        <v>45598</v>
      </c>
      <c r="C551" s="3" t="s">
        <v>66</v>
      </c>
      <c r="D551" s="1" t="s">
        <v>17</v>
      </c>
      <c r="E551" s="1" t="s">
        <v>23</v>
      </c>
      <c r="F551" s="4">
        <v>5349100</v>
      </c>
      <c r="G551" s="4">
        <v>4864300</v>
      </c>
      <c r="H551" s="4">
        <v>493200</v>
      </c>
      <c r="I551" s="4">
        <v>24800</v>
      </c>
      <c r="J551" s="4">
        <v>4500</v>
      </c>
      <c r="K551" s="4">
        <v>946100</v>
      </c>
      <c r="L551" s="4">
        <v>983600</v>
      </c>
      <c r="M551" s="4">
        <f>Tabla1[[#This Row],[BASE DEL DIA]]+Tabla1[[#This Row],[ENTREGAS]]+Tabla1[[#This Row],[TARJETAS]]+Tabla1[[#This Row],[NEQUI O QR]]+Tabla1[[#This Row],[VENTAS FE.CREDITO]]-Tabla1[[#This Row],[VENTAS NETAS]]-Tabla1[[#This Row],[BASE ANTERIOR]]</f>
        <v>200</v>
      </c>
    </row>
    <row r="552" spans="1:13" ht="13.5" customHeight="1" x14ac:dyDescent="0.2">
      <c r="A552" s="1">
        <v>6141</v>
      </c>
      <c r="B552" s="2">
        <v>45598</v>
      </c>
      <c r="C552" s="3" t="s">
        <v>67</v>
      </c>
      <c r="D552" s="1" t="s">
        <v>17</v>
      </c>
      <c r="E552" s="1" t="s">
        <v>22</v>
      </c>
      <c r="F552" s="4">
        <v>4030200</v>
      </c>
      <c r="G552" s="4">
        <v>3279000</v>
      </c>
      <c r="H552" s="4">
        <v>607200</v>
      </c>
      <c r="I552" s="4">
        <v>14100</v>
      </c>
      <c r="J552" s="4">
        <v>18700</v>
      </c>
      <c r="K552" s="4">
        <v>983600</v>
      </c>
      <c r="L552" s="4">
        <v>864600</v>
      </c>
      <c r="M552" s="4">
        <f>Tabla1[[#This Row],[BASE DEL DIA]]+Tabla1[[#This Row],[ENTREGAS]]+Tabla1[[#This Row],[TARJETAS]]+Tabla1[[#This Row],[NEQUI O QR]]+Tabla1[[#This Row],[VENTAS FE.CREDITO]]-Tabla1[[#This Row],[VENTAS NETAS]]-Tabla1[[#This Row],[BASE ANTERIOR]]</f>
        <v>7800</v>
      </c>
    </row>
    <row r="553" spans="1:13" ht="13.5" customHeight="1" x14ac:dyDescent="0.2">
      <c r="A553" s="1">
        <v>6140</v>
      </c>
      <c r="B553" s="2">
        <v>45597</v>
      </c>
      <c r="C553" s="3" t="s">
        <v>107</v>
      </c>
      <c r="D553" s="1" t="s">
        <v>98</v>
      </c>
      <c r="E553" s="1" t="s">
        <v>23</v>
      </c>
      <c r="F553" s="4">
        <v>6466700</v>
      </c>
      <c r="G553" s="4">
        <v>5900000</v>
      </c>
      <c r="H553" s="4">
        <v>876000</v>
      </c>
      <c r="I553" s="4">
        <v>10600</v>
      </c>
      <c r="J553" s="4">
        <v>0</v>
      </c>
      <c r="K553" s="4">
        <v>864600</v>
      </c>
      <c r="L553" s="4">
        <v>1188600</v>
      </c>
      <c r="M553" s="4">
        <f>Tabla1[[#This Row],[BASE DEL DIA]]+Tabla1[[#This Row],[ENTREGAS]]+Tabla1[[#This Row],[TARJETAS]]+Tabla1[[#This Row],[NEQUI O QR]]+Tabla1[[#This Row],[VENTAS FE.CREDITO]]-Tabla1[[#This Row],[VENTAS NETAS]]-Tabla1[[#This Row],[BASE ANTERIOR]]</f>
        <v>-4100</v>
      </c>
    </row>
    <row r="554" spans="1:13" ht="13.5" customHeight="1" x14ac:dyDescent="0.2">
      <c r="B554" s="2">
        <v>45597</v>
      </c>
      <c r="C554" s="3" t="s">
        <v>134</v>
      </c>
      <c r="D554" s="1" t="s">
        <v>17</v>
      </c>
      <c r="E554" s="1" t="s">
        <v>22</v>
      </c>
      <c r="F554" s="4">
        <v>3209099</v>
      </c>
      <c r="G554" s="4">
        <v>2730500</v>
      </c>
      <c r="H554" s="4">
        <v>164300</v>
      </c>
      <c r="I554" s="4">
        <v>20000</v>
      </c>
      <c r="J554" s="4">
        <v>0</v>
      </c>
      <c r="K554" s="4">
        <v>1188600</v>
      </c>
      <c r="L554" s="4">
        <v>879300</v>
      </c>
      <c r="M554" s="4">
        <f>Tabla1[[#This Row],[BASE DEL DIA]]+Tabla1[[#This Row],[ENTREGAS]]+Tabla1[[#This Row],[TARJETAS]]+Tabla1[[#This Row],[NEQUI O QR]]+Tabla1[[#This Row],[VENTAS FE.CREDITO]]-Tabla1[[#This Row],[VENTAS NETAS]]-Tabla1[[#This Row],[BASE ANTERIOR]]</f>
        <v>15001</v>
      </c>
    </row>
    <row r="555" spans="1:13" ht="13.5" customHeight="1" x14ac:dyDescent="0.2">
      <c r="A555" s="1">
        <v>6138</v>
      </c>
      <c r="B555" s="2">
        <v>45596</v>
      </c>
      <c r="C555" s="3" t="s">
        <v>54</v>
      </c>
      <c r="D555" s="1" t="s">
        <v>17</v>
      </c>
      <c r="E555" s="1" t="s">
        <v>23</v>
      </c>
      <c r="F555" s="4">
        <v>4923000</v>
      </c>
      <c r="G555" s="4">
        <v>4550000</v>
      </c>
      <c r="H555" s="4">
        <v>331200</v>
      </c>
      <c r="I555" s="4">
        <v>51000</v>
      </c>
      <c r="J555" s="4">
        <v>0</v>
      </c>
      <c r="K555" s="4">
        <v>879300</v>
      </c>
      <c r="L555" s="4">
        <v>901000</v>
      </c>
      <c r="M555" s="4">
        <f>Tabla1[[#This Row],[BASE DEL DIA]]+Tabla1[[#This Row],[ENTREGAS]]+Tabla1[[#This Row],[TARJETAS]]+Tabla1[[#This Row],[NEQUI O QR]]+Tabla1[[#This Row],[VENTAS FE.CREDITO]]-Tabla1[[#This Row],[VENTAS NETAS]]-Tabla1[[#This Row],[BASE ANTERIOR]]</f>
        <v>-12500</v>
      </c>
    </row>
    <row r="556" spans="1:13" ht="13.5" customHeight="1" x14ac:dyDescent="0.2">
      <c r="A556" s="1">
        <v>6137</v>
      </c>
      <c r="B556" s="2">
        <v>45596</v>
      </c>
      <c r="C556" s="3" t="s">
        <v>140</v>
      </c>
      <c r="D556" s="1" t="s">
        <v>19</v>
      </c>
      <c r="E556" s="1" t="s">
        <v>22</v>
      </c>
      <c r="F556" s="4">
        <v>3064500</v>
      </c>
      <c r="G556" s="4">
        <v>2814500</v>
      </c>
      <c r="H556" s="4">
        <v>231700</v>
      </c>
      <c r="I556" s="4">
        <v>20500</v>
      </c>
      <c r="J556" s="4">
        <v>0</v>
      </c>
      <c r="K556" s="4">
        <v>901000</v>
      </c>
      <c r="L556" s="4">
        <v>901600</v>
      </c>
      <c r="M556" s="4">
        <f>Tabla1[[#This Row],[BASE DEL DIA]]+Tabla1[[#This Row],[ENTREGAS]]+Tabla1[[#This Row],[TARJETAS]]+Tabla1[[#This Row],[NEQUI O QR]]+Tabla1[[#This Row],[VENTAS FE.CREDITO]]-Tabla1[[#This Row],[VENTAS NETAS]]-Tabla1[[#This Row],[BASE ANTERIOR]]</f>
        <v>1600</v>
      </c>
    </row>
    <row r="557" spans="1:13" ht="13.5" customHeight="1" x14ac:dyDescent="0.2">
      <c r="A557" s="1">
        <v>6136</v>
      </c>
      <c r="B557" s="2">
        <v>45595</v>
      </c>
      <c r="C557" s="3" t="s">
        <v>154</v>
      </c>
      <c r="D557" s="1" t="s">
        <v>98</v>
      </c>
      <c r="E557" s="1" t="s">
        <v>23</v>
      </c>
      <c r="F557" s="4">
        <v>2733000</v>
      </c>
      <c r="G557" s="4">
        <v>2330000</v>
      </c>
      <c r="H557" s="4">
        <v>505200</v>
      </c>
      <c r="I557" s="4">
        <v>0</v>
      </c>
      <c r="J557" s="4">
        <v>0</v>
      </c>
      <c r="K557" s="4">
        <v>901600</v>
      </c>
      <c r="L557" s="4">
        <v>989750</v>
      </c>
      <c r="M557" s="4">
        <f>Tabla1[[#This Row],[BASE DEL DIA]]+Tabla1[[#This Row],[ENTREGAS]]+Tabla1[[#This Row],[TARJETAS]]+Tabla1[[#This Row],[NEQUI O QR]]+Tabla1[[#This Row],[VENTAS FE.CREDITO]]-Tabla1[[#This Row],[VENTAS NETAS]]-Tabla1[[#This Row],[BASE ANTERIOR]]</f>
        <v>14050</v>
      </c>
    </row>
    <row r="558" spans="1:13" ht="13.5" customHeight="1" x14ac:dyDescent="0.2">
      <c r="B558" s="2">
        <v>45595</v>
      </c>
      <c r="C558" s="3" t="s">
        <v>59</v>
      </c>
      <c r="D558" s="1" t="s">
        <v>17</v>
      </c>
      <c r="E558" s="1" t="s">
        <v>23</v>
      </c>
      <c r="F558" s="4">
        <v>1567700</v>
      </c>
      <c r="G558" s="4">
        <v>1358800</v>
      </c>
      <c r="H558" s="4">
        <v>110700</v>
      </c>
      <c r="I558" s="4">
        <v>0</v>
      </c>
      <c r="J558" s="4">
        <v>0</v>
      </c>
      <c r="K558" s="4">
        <v>989750</v>
      </c>
      <c r="L558" s="4">
        <v>902550</v>
      </c>
      <c r="M558" s="4">
        <f>Tabla1[[#This Row],[BASE DEL DIA]]+Tabla1[[#This Row],[ENTREGAS]]+Tabla1[[#This Row],[TARJETAS]]+Tabla1[[#This Row],[NEQUI O QR]]+Tabla1[[#This Row],[VENTAS FE.CREDITO]]-Tabla1[[#This Row],[VENTAS NETAS]]-Tabla1[[#This Row],[BASE ANTERIOR]]</f>
        <v>-11000</v>
      </c>
    </row>
    <row r="559" spans="1:13" ht="13.5" customHeight="1" x14ac:dyDescent="0.2">
      <c r="A559" s="1">
        <v>6134</v>
      </c>
      <c r="B559" s="2">
        <v>45594</v>
      </c>
      <c r="C559" s="3" t="s">
        <v>85</v>
      </c>
      <c r="D559" s="1" t="s">
        <v>17</v>
      </c>
      <c r="E559" s="1" t="s">
        <v>23</v>
      </c>
      <c r="F559" s="4">
        <v>2857200</v>
      </c>
      <c r="G559" s="4">
        <v>2788000</v>
      </c>
      <c r="H559" s="4">
        <v>84400</v>
      </c>
      <c r="I559" s="4">
        <v>19300</v>
      </c>
      <c r="J559" s="4">
        <v>5900</v>
      </c>
      <c r="K559" s="4">
        <v>902550</v>
      </c>
      <c r="L559" s="4">
        <v>942800</v>
      </c>
      <c r="M559" s="4">
        <f>Tabla1[[#This Row],[BASE DEL DIA]]+Tabla1[[#This Row],[ENTREGAS]]+Tabla1[[#This Row],[TARJETAS]]+Tabla1[[#This Row],[NEQUI O QR]]+Tabla1[[#This Row],[VENTAS FE.CREDITO]]-Tabla1[[#This Row],[VENTAS NETAS]]-Tabla1[[#This Row],[BASE ANTERIOR]]</f>
        <v>150</v>
      </c>
    </row>
    <row r="560" spans="1:13" ht="13.5" customHeight="1" x14ac:dyDescent="0.2">
      <c r="A560" s="1">
        <v>6133</v>
      </c>
      <c r="B560" s="2">
        <v>45594</v>
      </c>
      <c r="C560" s="3" t="s">
        <v>145</v>
      </c>
      <c r="D560" s="1" t="s">
        <v>98</v>
      </c>
      <c r="E560" s="1" t="s">
        <v>22</v>
      </c>
      <c r="F560" s="4">
        <v>2965600</v>
      </c>
      <c r="G560" s="4">
        <v>2914200</v>
      </c>
      <c r="H560" s="4">
        <v>28500</v>
      </c>
      <c r="I560" s="4">
        <v>0</v>
      </c>
      <c r="J560" s="4">
        <v>0</v>
      </c>
      <c r="K560" s="4">
        <v>942800</v>
      </c>
      <c r="L560" s="4">
        <v>925250</v>
      </c>
      <c r="M560" s="4">
        <f>Tabla1[[#This Row],[BASE DEL DIA]]+Tabla1[[#This Row],[ENTREGAS]]+Tabla1[[#This Row],[TARJETAS]]+Tabla1[[#This Row],[NEQUI O QR]]+Tabla1[[#This Row],[VENTAS FE.CREDITO]]-Tabla1[[#This Row],[VENTAS NETAS]]-Tabla1[[#This Row],[BASE ANTERIOR]]</f>
        <v>-5350</v>
      </c>
    </row>
    <row r="561" spans="1:13" ht="13.5" customHeight="1" x14ac:dyDescent="0.2">
      <c r="A561" s="1">
        <v>6132</v>
      </c>
      <c r="B561" s="2">
        <v>45593</v>
      </c>
      <c r="C561" s="3" t="s">
        <v>96</v>
      </c>
      <c r="D561" s="1" t="s">
        <v>98</v>
      </c>
      <c r="E561" s="1" t="s">
        <v>23</v>
      </c>
      <c r="F561" s="4">
        <v>3780300</v>
      </c>
      <c r="G561" s="4">
        <v>3472000</v>
      </c>
      <c r="H561" s="4">
        <v>280900</v>
      </c>
      <c r="I561" s="4">
        <v>19100</v>
      </c>
      <c r="J561" s="4">
        <v>15000</v>
      </c>
      <c r="K561" s="4">
        <v>925250</v>
      </c>
      <c r="L561" s="4">
        <v>930700</v>
      </c>
      <c r="M561" s="4">
        <f>Tabla1[[#This Row],[BASE DEL DIA]]+Tabla1[[#This Row],[ENTREGAS]]+Tabla1[[#This Row],[TARJETAS]]+Tabla1[[#This Row],[NEQUI O QR]]+Tabla1[[#This Row],[VENTAS FE.CREDITO]]-Tabla1[[#This Row],[VENTAS NETAS]]-Tabla1[[#This Row],[BASE ANTERIOR]]</f>
        <v>1250</v>
      </c>
    </row>
    <row r="562" spans="1:13" ht="13.5" customHeight="1" x14ac:dyDescent="0.2">
      <c r="A562" s="1">
        <v>6131</v>
      </c>
      <c r="B562" s="2">
        <v>45593</v>
      </c>
      <c r="C562" s="3" t="s">
        <v>112</v>
      </c>
      <c r="D562" s="1" t="s">
        <v>17</v>
      </c>
      <c r="E562" s="1" t="s">
        <v>22</v>
      </c>
      <c r="F562" s="4">
        <v>1671610</v>
      </c>
      <c r="G562" s="4">
        <v>1625000</v>
      </c>
      <c r="H562" s="4">
        <v>69300</v>
      </c>
      <c r="I562" s="4">
        <v>4200</v>
      </c>
      <c r="J562" s="4">
        <v>0</v>
      </c>
      <c r="K562" s="4">
        <v>930700</v>
      </c>
      <c r="L562" s="4">
        <v>955900</v>
      </c>
      <c r="M562" s="4">
        <f>Tabla1[[#This Row],[BASE DEL DIA]]+Tabla1[[#This Row],[ENTREGAS]]+Tabla1[[#This Row],[TARJETAS]]+Tabla1[[#This Row],[NEQUI O QR]]+Tabla1[[#This Row],[VENTAS FE.CREDITO]]-Tabla1[[#This Row],[VENTAS NETAS]]-Tabla1[[#This Row],[BASE ANTERIOR]]</f>
        <v>1690</v>
      </c>
    </row>
    <row r="563" spans="1:13" ht="13.5" customHeight="1" x14ac:dyDescent="0.2">
      <c r="A563" s="1">
        <v>6130</v>
      </c>
      <c r="B563" s="2">
        <v>45592</v>
      </c>
      <c r="C563" s="3" t="s">
        <v>160</v>
      </c>
      <c r="D563" s="1" t="s">
        <v>18</v>
      </c>
      <c r="E563" s="1" t="s">
        <v>23</v>
      </c>
      <c r="F563" s="4">
        <v>3743310</v>
      </c>
      <c r="G563" s="4">
        <v>3302200</v>
      </c>
      <c r="H563" s="4">
        <v>306900</v>
      </c>
      <c r="I563" s="4">
        <v>54000</v>
      </c>
      <c r="J563" s="4">
        <v>0</v>
      </c>
      <c r="K563" s="4">
        <v>955900</v>
      </c>
      <c r="L563" s="4">
        <v>869500</v>
      </c>
      <c r="M563" s="4">
        <f>Tabla1[[#This Row],[BASE DEL DIA]]+Tabla1[[#This Row],[ENTREGAS]]+Tabla1[[#This Row],[TARJETAS]]+Tabla1[[#This Row],[NEQUI O QR]]+Tabla1[[#This Row],[VENTAS FE.CREDITO]]-Tabla1[[#This Row],[VENTAS NETAS]]-Tabla1[[#This Row],[BASE ANTERIOR]]</f>
        <v>6190</v>
      </c>
    </row>
    <row r="564" spans="1:13" ht="13.5" customHeight="1" x14ac:dyDescent="0.2">
      <c r="A564" s="1">
        <v>6129</v>
      </c>
      <c r="B564" s="2">
        <v>45592</v>
      </c>
      <c r="C564" s="3" t="s">
        <v>62</v>
      </c>
      <c r="D564" s="1" t="s">
        <v>16</v>
      </c>
      <c r="E564" s="1" t="s">
        <v>22</v>
      </c>
      <c r="F564" s="4">
        <v>3673100</v>
      </c>
      <c r="G564" s="4">
        <v>3298500</v>
      </c>
      <c r="H564" s="4">
        <v>418000</v>
      </c>
      <c r="I564" s="4">
        <v>0</v>
      </c>
      <c r="J564" s="4">
        <v>7500</v>
      </c>
      <c r="K564" s="4">
        <v>869500</v>
      </c>
      <c r="L564" s="4">
        <v>910800</v>
      </c>
      <c r="M564" s="4">
        <f>Tabla1[[#This Row],[BASE DEL DIA]]+Tabla1[[#This Row],[ENTREGAS]]+Tabla1[[#This Row],[TARJETAS]]+Tabla1[[#This Row],[NEQUI O QR]]+Tabla1[[#This Row],[VENTAS FE.CREDITO]]-Tabla1[[#This Row],[VENTAS NETAS]]-Tabla1[[#This Row],[BASE ANTERIOR]]</f>
        <v>9600</v>
      </c>
    </row>
    <row r="565" spans="1:13" ht="13.5" customHeight="1" x14ac:dyDescent="0.2">
      <c r="A565" s="1">
        <v>6128</v>
      </c>
      <c r="B565" s="2">
        <v>45591</v>
      </c>
      <c r="C565" s="3" t="s">
        <v>130</v>
      </c>
      <c r="D565" s="1" t="s">
        <v>16</v>
      </c>
      <c r="E565" s="1" t="s">
        <v>23</v>
      </c>
      <c r="F565" s="4">
        <v>4125300</v>
      </c>
      <c r="G565" s="4">
        <v>3715900</v>
      </c>
      <c r="H565" s="4">
        <v>339200</v>
      </c>
      <c r="I565" s="4">
        <v>0</v>
      </c>
      <c r="K565" s="4">
        <v>910800</v>
      </c>
      <c r="L565" s="4">
        <v>847450</v>
      </c>
      <c r="M565" s="4">
        <f>Tabla1[[#This Row],[BASE DEL DIA]]+Tabla1[[#This Row],[ENTREGAS]]+Tabla1[[#This Row],[TARJETAS]]+Tabla1[[#This Row],[NEQUI O QR]]+Tabla1[[#This Row],[VENTAS FE.CREDITO]]-Tabla1[[#This Row],[VENTAS NETAS]]-Tabla1[[#This Row],[BASE ANTERIOR]]</f>
        <v>-6850</v>
      </c>
    </row>
    <row r="566" spans="1:13" ht="13.5" customHeight="1" x14ac:dyDescent="0.2">
      <c r="A566" s="1">
        <v>6127</v>
      </c>
      <c r="B566" s="2">
        <v>45591</v>
      </c>
      <c r="C566" s="3" t="s">
        <v>78</v>
      </c>
      <c r="D566" s="1" t="s">
        <v>16</v>
      </c>
      <c r="E566" s="1" t="s">
        <v>22</v>
      </c>
      <c r="F566" s="4">
        <v>3240800</v>
      </c>
      <c r="G566" s="4">
        <v>2909300</v>
      </c>
      <c r="H566" s="4">
        <v>419100</v>
      </c>
      <c r="I566" s="4">
        <v>16900</v>
      </c>
      <c r="J566" s="4">
        <v>6800</v>
      </c>
      <c r="K566" s="4">
        <v>847450</v>
      </c>
      <c r="L566" s="4">
        <v>955750</v>
      </c>
      <c r="M566" s="4">
        <f>Tabla1[[#This Row],[BASE DEL DIA]]+Tabla1[[#This Row],[ENTREGAS]]+Tabla1[[#This Row],[TARJETAS]]+Tabla1[[#This Row],[NEQUI O QR]]+Tabla1[[#This Row],[VENTAS FE.CREDITO]]-Tabla1[[#This Row],[VENTAS NETAS]]-Tabla1[[#This Row],[BASE ANTERIOR]]</f>
        <v>3000</v>
      </c>
    </row>
    <row r="567" spans="1:13" ht="13.5" customHeight="1" x14ac:dyDescent="0.2">
      <c r="A567" s="1">
        <v>6126</v>
      </c>
      <c r="B567" s="2">
        <v>45590</v>
      </c>
      <c r="C567" s="3" t="s">
        <v>96</v>
      </c>
      <c r="D567" s="1" t="s">
        <v>18</v>
      </c>
      <c r="E567" s="1" t="s">
        <v>23</v>
      </c>
      <c r="F567" s="4">
        <v>3032620</v>
      </c>
      <c r="G567" s="4">
        <v>2800000</v>
      </c>
      <c r="H567" s="4">
        <v>146520</v>
      </c>
      <c r="I567" s="4">
        <v>12500</v>
      </c>
      <c r="J567" s="4">
        <v>21400</v>
      </c>
      <c r="K567" s="4">
        <v>955750</v>
      </c>
      <c r="L567" s="4">
        <v>898650</v>
      </c>
      <c r="M567" s="4">
        <f>Tabla1[[#This Row],[BASE DEL DIA]]+Tabla1[[#This Row],[ENTREGAS]]+Tabla1[[#This Row],[TARJETAS]]+Tabla1[[#This Row],[NEQUI O QR]]+Tabla1[[#This Row],[VENTAS FE.CREDITO]]-Tabla1[[#This Row],[VENTAS NETAS]]-Tabla1[[#This Row],[BASE ANTERIOR]]</f>
        <v>4900</v>
      </c>
    </row>
    <row r="568" spans="1:13" ht="13.5" customHeight="1" x14ac:dyDescent="0.2">
      <c r="A568" s="1">
        <v>6125</v>
      </c>
      <c r="B568" s="2">
        <v>45590</v>
      </c>
      <c r="C568" s="3" t="s">
        <v>135</v>
      </c>
      <c r="D568" s="1" t="s">
        <v>16</v>
      </c>
      <c r="E568" s="1" t="s">
        <v>22</v>
      </c>
      <c r="F568" s="4">
        <v>2497410</v>
      </c>
      <c r="G568" s="4">
        <v>2543000</v>
      </c>
      <c r="H568" s="4">
        <v>107800</v>
      </c>
      <c r="I568" s="4">
        <v>12000</v>
      </c>
      <c r="J568" s="4">
        <v>7100</v>
      </c>
      <c r="K568" s="4">
        <v>898650</v>
      </c>
      <c r="L568" s="4">
        <v>1069050</v>
      </c>
      <c r="M568" s="4">
        <f>Tabla1[[#This Row],[BASE DEL DIA]]+Tabla1[[#This Row],[ENTREGAS]]+Tabla1[[#This Row],[TARJETAS]]+Tabla1[[#This Row],[NEQUI O QR]]+Tabla1[[#This Row],[VENTAS FE.CREDITO]]-Tabla1[[#This Row],[VENTAS NETAS]]-Tabla1[[#This Row],[BASE ANTERIOR]]</f>
        <v>2090</v>
      </c>
    </row>
    <row r="569" spans="1:13" ht="13.5" customHeight="1" x14ac:dyDescent="0.2">
      <c r="A569" s="1">
        <v>6124</v>
      </c>
      <c r="B569" s="2">
        <v>45589</v>
      </c>
      <c r="C569" s="3" t="s">
        <v>154</v>
      </c>
      <c r="D569" s="1" t="s">
        <v>16</v>
      </c>
      <c r="E569" s="1" t="s">
        <v>23</v>
      </c>
      <c r="F569" s="4">
        <v>3077000</v>
      </c>
      <c r="G569" s="4">
        <v>2800000</v>
      </c>
      <c r="H569" s="4">
        <v>240600</v>
      </c>
      <c r="I569" s="4">
        <v>40800</v>
      </c>
      <c r="J569" s="4">
        <v>2500</v>
      </c>
      <c r="K569" s="4">
        <v>1069050</v>
      </c>
      <c r="L569" s="4">
        <v>1080200</v>
      </c>
      <c r="M569" s="4">
        <f>Tabla1[[#This Row],[BASE DEL DIA]]+Tabla1[[#This Row],[ENTREGAS]]+Tabla1[[#This Row],[TARJETAS]]+Tabla1[[#This Row],[NEQUI O QR]]+Tabla1[[#This Row],[VENTAS FE.CREDITO]]-Tabla1[[#This Row],[VENTAS NETAS]]-Tabla1[[#This Row],[BASE ANTERIOR]]</f>
        <v>-4250</v>
      </c>
    </row>
    <row r="570" spans="1:13" ht="13.5" customHeight="1" x14ac:dyDescent="0.2">
      <c r="A570" s="1">
        <v>6123</v>
      </c>
      <c r="B570" s="2">
        <v>45589</v>
      </c>
      <c r="C570" s="3" t="s">
        <v>134</v>
      </c>
      <c r="D570" s="1" t="s">
        <v>18</v>
      </c>
      <c r="E570" s="1" t="s">
        <v>22</v>
      </c>
      <c r="F570" s="4">
        <v>2262600</v>
      </c>
      <c r="G570" s="4">
        <v>1866000</v>
      </c>
      <c r="H570" s="4">
        <v>222360</v>
      </c>
      <c r="I570" s="4">
        <v>26400</v>
      </c>
      <c r="J570" s="4">
        <f>13700+2800</f>
        <v>16500</v>
      </c>
      <c r="K570" s="4">
        <v>1080200</v>
      </c>
      <c r="L570" s="4">
        <v>948850</v>
      </c>
      <c r="M570" s="4">
        <f>Tabla1[[#This Row],[BASE DEL DIA]]+Tabla1[[#This Row],[ENTREGAS]]+Tabla1[[#This Row],[TARJETAS]]+Tabla1[[#This Row],[NEQUI O QR]]+Tabla1[[#This Row],[VENTAS FE.CREDITO]]-Tabla1[[#This Row],[VENTAS NETAS]]-Tabla1[[#This Row],[BASE ANTERIOR]]</f>
        <v>10</v>
      </c>
    </row>
    <row r="571" spans="1:13" ht="13.5" customHeight="1" x14ac:dyDescent="0.2">
      <c r="A571" s="1">
        <v>6122</v>
      </c>
      <c r="B571" s="2">
        <v>45588</v>
      </c>
      <c r="C571" s="3" t="s">
        <v>107</v>
      </c>
      <c r="D571" s="1" t="s">
        <v>18</v>
      </c>
      <c r="E571" s="1" t="s">
        <v>23</v>
      </c>
      <c r="F571" s="4">
        <v>3105050</v>
      </c>
      <c r="G571" s="4">
        <v>2715000</v>
      </c>
      <c r="H571" s="4">
        <v>245260</v>
      </c>
      <c r="I571" s="4">
        <v>49000</v>
      </c>
      <c r="J571" s="4">
        <v>30400</v>
      </c>
      <c r="K571" s="4">
        <v>948850</v>
      </c>
      <c r="L571" s="4">
        <v>882250</v>
      </c>
      <c r="M571" s="4">
        <f>Tabla1[[#This Row],[BASE DEL DIA]]+Tabla1[[#This Row],[ENTREGAS]]+Tabla1[[#This Row],[TARJETAS]]+Tabla1[[#This Row],[NEQUI O QR]]+Tabla1[[#This Row],[VENTAS FE.CREDITO]]-Tabla1[[#This Row],[VENTAS NETAS]]-Tabla1[[#This Row],[BASE ANTERIOR]]</f>
        <v>1210</v>
      </c>
    </row>
    <row r="572" spans="1:13" ht="13.5" customHeight="1" x14ac:dyDescent="0.2">
      <c r="A572" s="1">
        <v>6121</v>
      </c>
      <c r="B572" s="2">
        <v>45588</v>
      </c>
      <c r="C572" s="3" t="s">
        <v>140</v>
      </c>
      <c r="D572" s="1" t="s">
        <v>16</v>
      </c>
      <c r="E572" s="1" t="s">
        <v>22</v>
      </c>
      <c r="F572" s="4">
        <v>1926300</v>
      </c>
      <c r="G572" s="4">
        <v>1849400</v>
      </c>
      <c r="H572" s="4">
        <v>79300</v>
      </c>
      <c r="I572" s="4">
        <v>30800</v>
      </c>
      <c r="J572" s="4">
        <v>25100</v>
      </c>
      <c r="K572" s="4">
        <v>882250</v>
      </c>
      <c r="L572" s="4">
        <v>895750</v>
      </c>
      <c r="M572" s="4">
        <f>Tabla1[[#This Row],[BASE DEL DIA]]+Tabla1[[#This Row],[ENTREGAS]]+Tabla1[[#This Row],[TARJETAS]]+Tabla1[[#This Row],[NEQUI O QR]]+Tabla1[[#This Row],[VENTAS FE.CREDITO]]-Tabla1[[#This Row],[VENTAS NETAS]]-Tabla1[[#This Row],[BASE ANTERIOR]]</f>
        <v>44800</v>
      </c>
    </row>
    <row r="573" spans="1:13" ht="13.5" customHeight="1" x14ac:dyDescent="0.2">
      <c r="A573" s="1">
        <v>6120</v>
      </c>
      <c r="B573" s="2">
        <v>45587</v>
      </c>
      <c r="C573" s="3" t="s">
        <v>110</v>
      </c>
      <c r="D573" s="1" t="s">
        <v>16</v>
      </c>
      <c r="E573" s="1" t="s">
        <v>23</v>
      </c>
      <c r="F573" s="4">
        <v>3947600</v>
      </c>
      <c r="G573" s="4">
        <v>3900000</v>
      </c>
      <c r="H573" s="4">
        <v>56000</v>
      </c>
      <c r="I573" s="4">
        <v>3400</v>
      </c>
      <c r="J573" s="4">
        <v>12300</v>
      </c>
      <c r="K573" s="4">
        <v>895750</v>
      </c>
      <c r="L573" s="4">
        <v>915600</v>
      </c>
      <c r="M573" s="4">
        <f>Tabla1[[#This Row],[BASE DEL DIA]]+Tabla1[[#This Row],[ENTREGAS]]+Tabla1[[#This Row],[TARJETAS]]+Tabla1[[#This Row],[NEQUI O QR]]+Tabla1[[#This Row],[VENTAS FE.CREDITO]]-Tabla1[[#This Row],[VENTAS NETAS]]-Tabla1[[#This Row],[BASE ANTERIOR]]</f>
        <v>4250</v>
      </c>
    </row>
    <row r="574" spans="1:13" ht="13.5" customHeight="1" x14ac:dyDescent="0.2">
      <c r="A574" s="1">
        <v>6119</v>
      </c>
      <c r="B574" s="2">
        <v>45587</v>
      </c>
      <c r="C574" s="3" t="s">
        <v>120</v>
      </c>
      <c r="D574" s="1" t="s">
        <v>18</v>
      </c>
      <c r="E574" s="1" t="s">
        <v>22</v>
      </c>
      <c r="F574" s="4">
        <v>2392500</v>
      </c>
      <c r="G574" s="4">
        <v>2256000</v>
      </c>
      <c r="H574" s="4">
        <v>209420</v>
      </c>
      <c r="I574" s="4">
        <v>0</v>
      </c>
      <c r="J574" s="4">
        <v>0</v>
      </c>
      <c r="K574" s="4">
        <v>915600</v>
      </c>
      <c r="L574" s="4">
        <v>987700</v>
      </c>
      <c r="M574" s="4">
        <f>Tabla1[[#This Row],[BASE DEL DIA]]+Tabla1[[#This Row],[ENTREGAS]]+Tabla1[[#This Row],[TARJETAS]]+Tabla1[[#This Row],[NEQUI O QR]]+Tabla1[[#This Row],[VENTAS FE.CREDITO]]-Tabla1[[#This Row],[VENTAS NETAS]]-Tabla1[[#This Row],[BASE ANTERIOR]]</f>
        <v>820</v>
      </c>
    </row>
    <row r="575" spans="1:13" ht="13.5" customHeight="1" x14ac:dyDescent="0.2">
      <c r="A575" s="1">
        <v>6118</v>
      </c>
      <c r="B575" s="2">
        <v>45586</v>
      </c>
      <c r="C575" s="3" t="s">
        <v>130</v>
      </c>
      <c r="D575" s="1" t="s">
        <v>18</v>
      </c>
      <c r="E575" s="1" t="s">
        <v>23</v>
      </c>
      <c r="F575" s="4">
        <v>4692750</v>
      </c>
      <c r="G575" s="4">
        <v>4275300</v>
      </c>
      <c r="H575" s="4">
        <v>420750</v>
      </c>
      <c r="I575" s="4">
        <v>14800</v>
      </c>
      <c r="J575" s="4">
        <v>7300</v>
      </c>
      <c r="K575" s="4">
        <v>987700</v>
      </c>
      <c r="L575" s="4">
        <v>1011300</v>
      </c>
      <c r="M575" s="4">
        <f>Tabla1[[#This Row],[BASE DEL DIA]]+Tabla1[[#This Row],[ENTREGAS]]+Tabla1[[#This Row],[TARJETAS]]+Tabla1[[#This Row],[NEQUI O QR]]+Tabla1[[#This Row],[VENTAS FE.CREDITO]]-Tabla1[[#This Row],[VENTAS NETAS]]-Tabla1[[#This Row],[BASE ANTERIOR]]</f>
        <v>1800</v>
      </c>
    </row>
    <row r="576" spans="1:13" ht="13.5" customHeight="1" x14ac:dyDescent="0.2">
      <c r="A576" s="1">
        <v>6117</v>
      </c>
      <c r="B576" s="2">
        <v>45586</v>
      </c>
      <c r="C576" s="3" t="s">
        <v>159</v>
      </c>
      <c r="D576" s="1" t="s">
        <v>16</v>
      </c>
      <c r="E576" s="1" t="s">
        <v>22</v>
      </c>
      <c r="F576" s="4">
        <v>2751000</v>
      </c>
      <c r="G576" s="4">
        <v>2470000</v>
      </c>
      <c r="H576" s="4">
        <v>184200</v>
      </c>
      <c r="I576" s="4">
        <v>32700</v>
      </c>
      <c r="J576" s="4">
        <v>9000</v>
      </c>
      <c r="K576" s="4">
        <v>1011300</v>
      </c>
      <c r="L576" s="4">
        <v>950900</v>
      </c>
      <c r="M576" s="4">
        <f>Tabla1[[#This Row],[BASE DEL DIA]]+Tabla1[[#This Row],[ENTREGAS]]+Tabla1[[#This Row],[TARJETAS]]+Tabla1[[#This Row],[NEQUI O QR]]+Tabla1[[#This Row],[VENTAS FE.CREDITO]]-Tabla1[[#This Row],[VENTAS NETAS]]-Tabla1[[#This Row],[BASE ANTERIOR]]</f>
        <v>5300</v>
      </c>
    </row>
    <row r="577" spans="1:13" ht="13.5" customHeight="1" x14ac:dyDescent="0.2">
      <c r="A577" s="1">
        <v>6116</v>
      </c>
      <c r="B577" s="2">
        <v>45585</v>
      </c>
      <c r="C577" s="3" t="s">
        <v>158</v>
      </c>
      <c r="D577" s="1" t="s">
        <v>98</v>
      </c>
      <c r="E577" s="1" t="s">
        <v>23</v>
      </c>
      <c r="F577" s="4">
        <v>4461600</v>
      </c>
      <c r="G577" s="4">
        <v>3939000</v>
      </c>
      <c r="H577" s="4">
        <v>485600</v>
      </c>
      <c r="I577" s="4">
        <v>18700</v>
      </c>
      <c r="J577" s="4">
        <v>0</v>
      </c>
      <c r="K577" s="4">
        <v>950900</v>
      </c>
      <c r="L577" s="4">
        <v>936950</v>
      </c>
      <c r="M577" s="4">
        <f>Tabla1[[#This Row],[BASE DEL DIA]]+Tabla1[[#This Row],[ENTREGAS]]+Tabla1[[#This Row],[TARJETAS]]+Tabla1[[#This Row],[NEQUI O QR]]+Tabla1[[#This Row],[VENTAS FE.CREDITO]]-Tabla1[[#This Row],[VENTAS NETAS]]-Tabla1[[#This Row],[BASE ANTERIOR]]</f>
        <v>-4350</v>
      </c>
    </row>
    <row r="578" spans="1:13" ht="13.5" customHeight="1" x14ac:dyDescent="0.2">
      <c r="B578" s="2">
        <v>45585</v>
      </c>
      <c r="C578" s="3" t="s">
        <v>76</v>
      </c>
      <c r="D578" s="1" t="s">
        <v>17</v>
      </c>
      <c r="E578" s="1" t="s">
        <v>23</v>
      </c>
      <c r="F578" s="4">
        <v>3408200</v>
      </c>
      <c r="G578" s="4">
        <v>3230000</v>
      </c>
      <c r="H578" s="4">
        <v>102800</v>
      </c>
      <c r="I578" s="4">
        <v>28300</v>
      </c>
      <c r="J578" s="4">
        <v>1700</v>
      </c>
      <c r="K578" s="4">
        <v>936950</v>
      </c>
      <c r="L578" s="4">
        <v>888300</v>
      </c>
      <c r="M578" s="4">
        <f>Tabla1[[#This Row],[BASE DEL DIA]]+Tabla1[[#This Row],[ENTREGAS]]+Tabla1[[#This Row],[TARJETAS]]+Tabla1[[#This Row],[NEQUI O QR]]+Tabla1[[#This Row],[VENTAS FE.CREDITO]]-Tabla1[[#This Row],[VENTAS NETAS]]-Tabla1[[#This Row],[BASE ANTERIOR]]</f>
        <v>3250</v>
      </c>
    </row>
    <row r="579" spans="1:13" ht="13.5" customHeight="1" x14ac:dyDescent="0.2">
      <c r="A579" s="1">
        <v>6114</v>
      </c>
      <c r="B579" s="2">
        <v>45584</v>
      </c>
      <c r="C579" s="3" t="s">
        <v>40</v>
      </c>
      <c r="D579" s="1" t="s">
        <v>17</v>
      </c>
      <c r="E579" s="1" t="s">
        <v>23</v>
      </c>
      <c r="F579" s="4">
        <v>3761400</v>
      </c>
      <c r="G579" s="4">
        <v>3301000</v>
      </c>
      <c r="H579" s="4">
        <v>444600</v>
      </c>
      <c r="I579" s="4">
        <v>0</v>
      </c>
      <c r="J579" s="4">
        <v>31000</v>
      </c>
      <c r="K579" s="4">
        <v>888300</v>
      </c>
      <c r="L579" s="4">
        <v>899400</v>
      </c>
      <c r="M579" s="4">
        <f>Tabla1[[#This Row],[BASE DEL DIA]]+Tabla1[[#This Row],[ENTREGAS]]+Tabla1[[#This Row],[TARJETAS]]+Tabla1[[#This Row],[NEQUI O QR]]+Tabla1[[#This Row],[VENTAS FE.CREDITO]]-Tabla1[[#This Row],[VENTAS NETAS]]-Tabla1[[#This Row],[BASE ANTERIOR]]</f>
        <v>4100</v>
      </c>
    </row>
    <row r="580" spans="1:13" ht="13.5" customHeight="1" x14ac:dyDescent="0.2">
      <c r="A580" s="1">
        <v>6113</v>
      </c>
      <c r="B580" s="2">
        <v>45584</v>
      </c>
      <c r="C580" s="3" t="s">
        <v>140</v>
      </c>
      <c r="D580" s="1" t="s">
        <v>98</v>
      </c>
      <c r="E580" s="1" t="s">
        <v>22</v>
      </c>
      <c r="F580" s="4">
        <v>2255600</v>
      </c>
      <c r="G580" s="4">
        <v>2170000</v>
      </c>
      <c r="H580" s="4">
        <v>125400</v>
      </c>
      <c r="I580" s="4">
        <v>17500</v>
      </c>
      <c r="J580" s="4">
        <v>0</v>
      </c>
      <c r="K580" s="4">
        <v>899400</v>
      </c>
      <c r="L580" s="4">
        <v>955200</v>
      </c>
      <c r="M580" s="4">
        <f>Tabla1[[#This Row],[BASE DEL DIA]]+Tabla1[[#This Row],[ENTREGAS]]+Tabla1[[#This Row],[TARJETAS]]+Tabla1[[#This Row],[NEQUI O QR]]+Tabla1[[#This Row],[VENTAS FE.CREDITO]]-Tabla1[[#This Row],[VENTAS NETAS]]-Tabla1[[#This Row],[BASE ANTERIOR]]</f>
        <v>1500</v>
      </c>
    </row>
    <row r="581" spans="1:13" ht="13.5" customHeight="1" x14ac:dyDescent="0.2">
      <c r="A581" s="1">
        <v>6112</v>
      </c>
      <c r="B581" s="2">
        <v>45583</v>
      </c>
      <c r="C581" s="3" t="s">
        <v>110</v>
      </c>
      <c r="D581" s="1" t="s">
        <v>98</v>
      </c>
      <c r="E581" s="1" t="s">
        <v>23</v>
      </c>
      <c r="F581" s="4">
        <v>3502200</v>
      </c>
      <c r="G581" s="4">
        <v>3214000</v>
      </c>
      <c r="H581" s="4">
        <v>190400</v>
      </c>
      <c r="I581" s="4">
        <v>0</v>
      </c>
      <c r="J581" s="4">
        <v>30200</v>
      </c>
      <c r="K581" s="4">
        <v>955200</v>
      </c>
      <c r="L581" s="4">
        <v>889300</v>
      </c>
      <c r="M581" s="4">
        <f>Tabla1[[#This Row],[BASE DEL DIA]]+Tabla1[[#This Row],[ENTREGAS]]+Tabla1[[#This Row],[TARJETAS]]+Tabla1[[#This Row],[NEQUI O QR]]+Tabla1[[#This Row],[VENTAS FE.CREDITO]]-Tabla1[[#This Row],[VENTAS NETAS]]-Tabla1[[#This Row],[BASE ANTERIOR]]</f>
        <v>-1700</v>
      </c>
    </row>
    <row r="582" spans="1:13" ht="13.5" customHeight="1" x14ac:dyDescent="0.2">
      <c r="A582" s="1">
        <v>6111</v>
      </c>
      <c r="B582" s="2">
        <v>45583</v>
      </c>
      <c r="C582" s="3" t="s">
        <v>59</v>
      </c>
      <c r="D582" s="1" t="s">
        <v>17</v>
      </c>
      <c r="E582" s="1" t="s">
        <v>22</v>
      </c>
      <c r="F582" s="4">
        <v>2440900</v>
      </c>
      <c r="G582" s="4">
        <v>2283850</v>
      </c>
      <c r="H582" s="4">
        <v>89000</v>
      </c>
      <c r="I582" s="4">
        <v>54000</v>
      </c>
      <c r="J582" s="4">
        <v>3500</v>
      </c>
      <c r="K582" s="4">
        <v>889300</v>
      </c>
      <c r="L582" s="4">
        <v>879300</v>
      </c>
      <c r="M582" s="4">
        <f>Tabla1[[#This Row],[BASE DEL DIA]]+Tabla1[[#This Row],[ENTREGAS]]+Tabla1[[#This Row],[TARJETAS]]+Tabla1[[#This Row],[NEQUI O QR]]+Tabla1[[#This Row],[VENTAS FE.CREDITO]]-Tabla1[[#This Row],[VENTAS NETAS]]-Tabla1[[#This Row],[BASE ANTERIOR]]</f>
        <v>-550</v>
      </c>
    </row>
    <row r="583" spans="1:13" ht="13.5" customHeight="1" x14ac:dyDescent="0.2">
      <c r="A583" s="1">
        <v>6110</v>
      </c>
      <c r="B583" s="2">
        <v>45582</v>
      </c>
      <c r="C583" s="3" t="s">
        <v>66</v>
      </c>
      <c r="D583" s="1" t="s">
        <v>17</v>
      </c>
      <c r="E583" s="1" t="s">
        <v>23</v>
      </c>
      <c r="F583" s="4">
        <v>4488800</v>
      </c>
      <c r="G583" s="4">
        <v>4092800</v>
      </c>
      <c r="H583" s="4">
        <v>314500</v>
      </c>
      <c r="I583" s="4">
        <v>4900</v>
      </c>
      <c r="J583" s="4">
        <v>63800</v>
      </c>
      <c r="K583" s="4">
        <v>879300</v>
      </c>
      <c r="L583" s="4">
        <v>866100</v>
      </c>
      <c r="M583" s="4">
        <f>Tabla1[[#This Row],[BASE DEL DIA]]+Tabla1[[#This Row],[ENTREGAS]]+Tabla1[[#This Row],[TARJETAS]]+Tabla1[[#This Row],[NEQUI O QR]]+Tabla1[[#This Row],[VENTAS FE.CREDITO]]-Tabla1[[#This Row],[VENTAS NETAS]]-Tabla1[[#This Row],[BASE ANTERIOR]]</f>
        <v>400</v>
      </c>
    </row>
    <row r="584" spans="1:13" ht="13.5" customHeight="1" x14ac:dyDescent="0.2">
      <c r="A584" s="1">
        <v>6109</v>
      </c>
      <c r="B584" s="2">
        <v>45582</v>
      </c>
      <c r="C584" s="3" t="s">
        <v>151</v>
      </c>
      <c r="D584" s="1" t="s">
        <v>98</v>
      </c>
      <c r="E584" s="1" t="s">
        <v>22</v>
      </c>
      <c r="F584" s="4">
        <v>2390899</v>
      </c>
      <c r="G584" s="4">
        <v>2382000</v>
      </c>
      <c r="H584" s="4">
        <v>36500</v>
      </c>
      <c r="I584" s="4">
        <v>0</v>
      </c>
      <c r="J584" s="4">
        <v>0</v>
      </c>
      <c r="K584" s="4">
        <v>866100</v>
      </c>
      <c r="L584" s="4">
        <v>908450</v>
      </c>
      <c r="M584" s="4">
        <f>Tabla1[[#This Row],[BASE DEL DIA]]+Tabla1[[#This Row],[ENTREGAS]]+Tabla1[[#This Row],[TARJETAS]]+Tabla1[[#This Row],[NEQUI O QR]]+Tabla1[[#This Row],[VENTAS FE.CREDITO]]-Tabla1[[#This Row],[VENTAS NETAS]]-Tabla1[[#This Row],[BASE ANTERIOR]]</f>
        <v>-14749</v>
      </c>
    </row>
    <row r="585" spans="1:13" ht="13.5" customHeight="1" x14ac:dyDescent="0.2">
      <c r="A585" s="1">
        <v>6107</v>
      </c>
      <c r="B585" s="2">
        <v>45581</v>
      </c>
      <c r="C585" s="3" t="s">
        <v>73</v>
      </c>
      <c r="D585" s="1" t="s">
        <v>98</v>
      </c>
      <c r="E585" s="1" t="s">
        <v>22</v>
      </c>
      <c r="F585" s="4">
        <v>5384900</v>
      </c>
      <c r="G585" s="4">
        <v>4968000</v>
      </c>
      <c r="H585" s="4">
        <v>305000</v>
      </c>
      <c r="I585" s="4">
        <v>149900</v>
      </c>
      <c r="J585" s="4">
        <v>92800</v>
      </c>
      <c r="K585" s="4">
        <v>908450</v>
      </c>
      <c r="L585" s="4">
        <v>1030050</v>
      </c>
      <c r="M585" s="4">
        <f>Tabla1[[#This Row],[BASE DEL DIA]]+Tabla1[[#This Row],[ENTREGAS]]+Tabla1[[#This Row],[TARJETAS]]+Tabla1[[#This Row],[NEQUI O QR]]+Tabla1[[#This Row],[VENTAS FE.CREDITO]]-Tabla1[[#This Row],[VENTAS NETAS]]-Tabla1[[#This Row],[BASE ANTERIOR]]</f>
        <v>9200</v>
      </c>
    </row>
    <row r="586" spans="1:13" ht="13.5" customHeight="1" x14ac:dyDescent="0.2">
      <c r="A586" s="1">
        <v>6106</v>
      </c>
      <c r="B586" s="2">
        <v>45581</v>
      </c>
      <c r="C586" s="3" t="s">
        <v>131</v>
      </c>
      <c r="D586" s="1" t="s">
        <v>17</v>
      </c>
      <c r="E586" s="1" t="s">
        <v>22</v>
      </c>
      <c r="F586" s="4">
        <v>3092200</v>
      </c>
      <c r="G586" s="4">
        <v>2762800</v>
      </c>
      <c r="H586" s="4">
        <v>171800</v>
      </c>
      <c r="I586" s="4">
        <v>57900</v>
      </c>
      <c r="J586" s="4">
        <v>0</v>
      </c>
      <c r="K586" s="4">
        <v>1030050</v>
      </c>
      <c r="L586" s="4">
        <v>930700</v>
      </c>
      <c r="M586" s="4">
        <f>Tabla1[[#This Row],[BASE DEL DIA]]+Tabla1[[#This Row],[ENTREGAS]]+Tabla1[[#This Row],[TARJETAS]]+Tabla1[[#This Row],[NEQUI O QR]]+Tabla1[[#This Row],[VENTAS FE.CREDITO]]-Tabla1[[#This Row],[VENTAS NETAS]]-Tabla1[[#This Row],[BASE ANTERIOR]]</f>
        <v>-350</v>
      </c>
    </row>
    <row r="587" spans="1:13" ht="13.5" customHeight="1" x14ac:dyDescent="0.2">
      <c r="A587" s="1">
        <v>6105</v>
      </c>
      <c r="B587" s="2">
        <v>45580</v>
      </c>
      <c r="C587" s="3" t="s">
        <v>40</v>
      </c>
      <c r="D587" s="1" t="s">
        <v>17</v>
      </c>
      <c r="E587" s="1" t="s">
        <v>23</v>
      </c>
      <c r="F587" s="4">
        <v>5581370</v>
      </c>
      <c r="G587" s="4">
        <v>4619900</v>
      </c>
      <c r="H587" s="4">
        <v>964160</v>
      </c>
      <c r="I587" s="4">
        <v>15200</v>
      </c>
      <c r="J587" s="4">
        <v>7800</v>
      </c>
      <c r="K587" s="4">
        <v>930700</v>
      </c>
      <c r="L587" s="4">
        <v>955200</v>
      </c>
      <c r="M587" s="4">
        <f>Tabla1[[#This Row],[BASE DEL DIA]]+Tabla1[[#This Row],[ENTREGAS]]+Tabla1[[#This Row],[TARJETAS]]+Tabla1[[#This Row],[NEQUI O QR]]+Tabla1[[#This Row],[VENTAS FE.CREDITO]]-Tabla1[[#This Row],[VENTAS NETAS]]-Tabla1[[#This Row],[BASE ANTERIOR]]</f>
        <v>1190</v>
      </c>
    </row>
    <row r="588" spans="1:13" ht="13.5" customHeight="1" x14ac:dyDescent="0.2">
      <c r="A588" s="1">
        <v>6104</v>
      </c>
      <c r="B588" s="2">
        <v>45580</v>
      </c>
      <c r="C588" s="3" t="s">
        <v>75</v>
      </c>
      <c r="D588" s="1" t="s">
        <v>98</v>
      </c>
      <c r="E588" s="1" t="s">
        <v>22</v>
      </c>
      <c r="F588" s="4">
        <v>2659900</v>
      </c>
      <c r="G588" s="4">
        <v>2496500</v>
      </c>
      <c r="H588" s="4">
        <v>56600</v>
      </c>
      <c r="I588" s="4">
        <v>8100</v>
      </c>
      <c r="J588" s="4">
        <v>0</v>
      </c>
      <c r="K588" s="4">
        <v>955200</v>
      </c>
      <c r="L588" s="4">
        <v>854100</v>
      </c>
      <c r="M588" s="4">
        <f>Tabla1[[#This Row],[BASE DEL DIA]]+Tabla1[[#This Row],[ENTREGAS]]+Tabla1[[#This Row],[TARJETAS]]+Tabla1[[#This Row],[NEQUI O QR]]+Tabla1[[#This Row],[VENTAS FE.CREDITO]]-Tabla1[[#This Row],[VENTAS NETAS]]-Tabla1[[#This Row],[BASE ANTERIOR]]</f>
        <v>2400</v>
      </c>
    </row>
    <row r="589" spans="1:13" ht="13.5" customHeight="1" x14ac:dyDescent="0.2">
      <c r="A589" s="1">
        <v>6103</v>
      </c>
      <c r="B589" s="2">
        <v>45579</v>
      </c>
      <c r="C589" s="3" t="s">
        <v>158</v>
      </c>
      <c r="D589" s="1" t="s">
        <v>98</v>
      </c>
      <c r="E589" s="1" t="s">
        <v>23</v>
      </c>
      <c r="F589" s="4">
        <v>3781200</v>
      </c>
      <c r="G589" s="4">
        <v>3514000</v>
      </c>
      <c r="H589" s="4">
        <v>292300</v>
      </c>
      <c r="I589" s="4">
        <v>50300</v>
      </c>
      <c r="J589" s="4">
        <v>0</v>
      </c>
      <c r="K589" s="4">
        <v>854100</v>
      </c>
      <c r="L589" s="4">
        <v>928350</v>
      </c>
      <c r="M589" s="4">
        <f>Tabla1[[#This Row],[BASE DEL DIA]]+Tabla1[[#This Row],[ENTREGAS]]+Tabla1[[#This Row],[TARJETAS]]+Tabla1[[#This Row],[NEQUI O QR]]+Tabla1[[#This Row],[VENTAS FE.CREDITO]]-Tabla1[[#This Row],[VENTAS NETAS]]-Tabla1[[#This Row],[BASE ANTERIOR]]</f>
        <v>1150</v>
      </c>
    </row>
    <row r="590" spans="1:13" ht="13.5" customHeight="1" x14ac:dyDescent="0.2">
      <c r="A590" s="1">
        <v>6102</v>
      </c>
      <c r="B590" s="2">
        <v>45579</v>
      </c>
      <c r="C590" s="3" t="s">
        <v>87</v>
      </c>
      <c r="D590" s="1" t="s">
        <v>17</v>
      </c>
      <c r="E590" s="1" t="s">
        <v>22</v>
      </c>
      <c r="F590" s="4">
        <v>2493200</v>
      </c>
      <c r="G590" s="4">
        <v>2230000</v>
      </c>
      <c r="H590" s="4">
        <v>90000</v>
      </c>
      <c r="I590" s="4">
        <v>173100</v>
      </c>
      <c r="J590" s="4">
        <v>0</v>
      </c>
      <c r="K590" s="4">
        <v>928350</v>
      </c>
      <c r="L590" s="4">
        <v>928200</v>
      </c>
      <c r="M590" s="4">
        <f>Tabla1[[#This Row],[BASE DEL DIA]]+Tabla1[[#This Row],[ENTREGAS]]+Tabla1[[#This Row],[TARJETAS]]+Tabla1[[#This Row],[NEQUI O QR]]+Tabla1[[#This Row],[VENTAS FE.CREDITO]]-Tabla1[[#This Row],[VENTAS NETAS]]-Tabla1[[#This Row],[BASE ANTERIOR]]</f>
        <v>50</v>
      </c>
    </row>
    <row r="591" spans="1:13" ht="13.5" customHeight="1" x14ac:dyDescent="0.2">
      <c r="A591" s="1">
        <v>6101</v>
      </c>
      <c r="B591" s="2">
        <v>45578</v>
      </c>
      <c r="C591" s="3" t="s">
        <v>158</v>
      </c>
      <c r="D591" s="1" t="s">
        <v>18</v>
      </c>
      <c r="E591" s="1" t="s">
        <v>23</v>
      </c>
      <c r="F591" s="4">
        <v>4038110</v>
      </c>
      <c r="G591" s="4">
        <v>3780000</v>
      </c>
      <c r="H591" s="4">
        <v>181760</v>
      </c>
      <c r="I591" s="4">
        <v>33400</v>
      </c>
      <c r="J591" s="4">
        <v>4700</v>
      </c>
      <c r="K591" s="4">
        <v>928200</v>
      </c>
      <c r="L591" s="4">
        <v>889800</v>
      </c>
      <c r="M591" s="4">
        <f>Tabla1[[#This Row],[BASE DEL DIA]]+Tabla1[[#This Row],[ENTREGAS]]+Tabla1[[#This Row],[TARJETAS]]+Tabla1[[#This Row],[NEQUI O QR]]+Tabla1[[#This Row],[VENTAS FE.CREDITO]]-Tabla1[[#This Row],[VENTAS NETAS]]-Tabla1[[#This Row],[BASE ANTERIOR]]</f>
        <v>150</v>
      </c>
    </row>
    <row r="592" spans="1:13" ht="13.5" customHeight="1" x14ac:dyDescent="0.2">
      <c r="A592" s="1">
        <v>6100</v>
      </c>
      <c r="B592" s="2">
        <v>45578</v>
      </c>
      <c r="C592" s="3" t="s">
        <v>91</v>
      </c>
      <c r="D592" s="1" t="s">
        <v>16</v>
      </c>
      <c r="E592" s="1" t="s">
        <v>23</v>
      </c>
      <c r="F592" s="4">
        <v>3802200</v>
      </c>
      <c r="G592" s="4">
        <v>3661500</v>
      </c>
      <c r="H592" s="4">
        <v>136300</v>
      </c>
      <c r="I592" s="4">
        <v>16400</v>
      </c>
      <c r="J592" s="4">
        <v>0</v>
      </c>
      <c r="K592" s="4">
        <v>889800</v>
      </c>
      <c r="L592" s="4">
        <v>894650</v>
      </c>
      <c r="M592" s="4">
        <f>Tabla1[[#This Row],[BASE DEL DIA]]+Tabla1[[#This Row],[ENTREGAS]]+Tabla1[[#This Row],[TARJETAS]]+Tabla1[[#This Row],[NEQUI O QR]]+Tabla1[[#This Row],[VENTAS FE.CREDITO]]-Tabla1[[#This Row],[VENTAS NETAS]]-Tabla1[[#This Row],[BASE ANTERIOR]]</f>
        <v>7150</v>
      </c>
    </row>
    <row r="593" spans="1:13" ht="13.5" customHeight="1" x14ac:dyDescent="0.2">
      <c r="A593" s="1">
        <v>6099</v>
      </c>
      <c r="B593" s="2">
        <v>45577</v>
      </c>
      <c r="C593" s="3" t="s">
        <v>73</v>
      </c>
      <c r="D593" s="1" t="s">
        <v>16</v>
      </c>
      <c r="E593" s="1" t="s">
        <v>23</v>
      </c>
      <c r="F593" s="4">
        <v>4226800</v>
      </c>
      <c r="G593" s="4">
        <v>4008500</v>
      </c>
      <c r="H593" s="4">
        <v>141200</v>
      </c>
      <c r="I593" s="4">
        <v>78400</v>
      </c>
      <c r="J593" s="4">
        <v>16400</v>
      </c>
      <c r="K593" s="4">
        <v>894650</v>
      </c>
      <c r="L593" s="4">
        <v>912050</v>
      </c>
      <c r="M593" s="4">
        <f>Tabla1[[#This Row],[BASE DEL DIA]]+Tabla1[[#This Row],[ENTREGAS]]+Tabla1[[#This Row],[TARJETAS]]+Tabla1[[#This Row],[NEQUI O QR]]+Tabla1[[#This Row],[VENTAS FE.CREDITO]]-Tabla1[[#This Row],[VENTAS NETAS]]-Tabla1[[#This Row],[BASE ANTERIOR]]</f>
        <v>300</v>
      </c>
    </row>
    <row r="594" spans="1:13" ht="13.5" customHeight="1" x14ac:dyDescent="0.2">
      <c r="A594" s="1">
        <v>6098</v>
      </c>
      <c r="B594" s="2">
        <v>45577</v>
      </c>
      <c r="C594" s="3" t="s">
        <v>111</v>
      </c>
      <c r="D594" s="1" t="s">
        <v>18</v>
      </c>
      <c r="E594" s="1" t="s">
        <v>23</v>
      </c>
      <c r="F594" s="4">
        <v>2506200</v>
      </c>
      <c r="G594" s="4">
        <v>2465800</v>
      </c>
      <c r="H594" s="4">
        <v>26300</v>
      </c>
      <c r="I594" s="4">
        <v>26000</v>
      </c>
      <c r="J594" s="4">
        <v>0</v>
      </c>
      <c r="K594" s="4">
        <v>912050</v>
      </c>
      <c r="L594" s="4">
        <v>935800</v>
      </c>
      <c r="M594" s="4">
        <f>Tabla1[[#This Row],[BASE DEL DIA]]+Tabla1[[#This Row],[ENTREGAS]]+Tabla1[[#This Row],[TARJETAS]]+Tabla1[[#This Row],[NEQUI O QR]]+Tabla1[[#This Row],[VENTAS FE.CREDITO]]-Tabla1[[#This Row],[VENTAS NETAS]]-Tabla1[[#This Row],[BASE ANTERIOR]]</f>
        <v>-11850</v>
      </c>
    </row>
    <row r="595" spans="1:13" ht="13.5" customHeight="1" x14ac:dyDescent="0.2">
      <c r="A595" s="1">
        <v>6097</v>
      </c>
      <c r="B595" s="2">
        <v>45576</v>
      </c>
      <c r="C595" s="3" t="s">
        <v>106</v>
      </c>
      <c r="D595" s="1" t="s">
        <v>18</v>
      </c>
      <c r="E595" s="1" t="s">
        <v>23</v>
      </c>
      <c r="F595" s="4">
        <v>3141280</v>
      </c>
      <c r="G595" s="4">
        <v>3020000</v>
      </c>
      <c r="H595" s="4">
        <v>169260</v>
      </c>
      <c r="I595" s="4">
        <v>0</v>
      </c>
      <c r="J595" s="4">
        <v>0</v>
      </c>
      <c r="K595" s="4">
        <v>935800</v>
      </c>
      <c r="L595" s="4">
        <v>981700</v>
      </c>
      <c r="M595" s="4">
        <f>Tabla1[[#This Row],[BASE DEL DIA]]+Tabla1[[#This Row],[ENTREGAS]]+Tabla1[[#This Row],[TARJETAS]]+Tabla1[[#This Row],[NEQUI O QR]]+Tabla1[[#This Row],[VENTAS FE.CREDITO]]-Tabla1[[#This Row],[VENTAS NETAS]]-Tabla1[[#This Row],[BASE ANTERIOR]]</f>
        <v>2080</v>
      </c>
    </row>
    <row r="596" spans="1:13" ht="13.5" customHeight="1" x14ac:dyDescent="0.2">
      <c r="A596" s="1">
        <v>6096</v>
      </c>
      <c r="B596" s="2">
        <v>45576</v>
      </c>
      <c r="C596" s="3" t="s">
        <v>53</v>
      </c>
      <c r="D596" s="1" t="s">
        <v>16</v>
      </c>
      <c r="E596" s="1" t="s">
        <v>22</v>
      </c>
      <c r="F596" s="4">
        <v>2470300</v>
      </c>
      <c r="G596" s="4">
        <v>2541200</v>
      </c>
      <c r="H596" s="4">
        <v>13300</v>
      </c>
      <c r="I596" s="4">
        <v>0</v>
      </c>
      <c r="J596" s="4">
        <v>2400</v>
      </c>
      <c r="K596" s="4">
        <v>981700</v>
      </c>
      <c r="L596" s="4">
        <v>1060500</v>
      </c>
      <c r="M596" s="4">
        <f>Tabla1[[#This Row],[BASE DEL DIA]]+Tabla1[[#This Row],[ENTREGAS]]+Tabla1[[#This Row],[TARJETAS]]+Tabla1[[#This Row],[NEQUI O QR]]+Tabla1[[#This Row],[VENTAS FE.CREDITO]]-Tabla1[[#This Row],[VENTAS NETAS]]-Tabla1[[#This Row],[BASE ANTERIOR]]</f>
        <v>7800</v>
      </c>
    </row>
    <row r="597" spans="1:13" ht="13.5" customHeight="1" x14ac:dyDescent="0.2">
      <c r="A597" s="1">
        <v>6095</v>
      </c>
      <c r="B597" s="2">
        <v>45575</v>
      </c>
      <c r="C597" s="3" t="s">
        <v>110</v>
      </c>
      <c r="D597" s="1" t="s">
        <v>16</v>
      </c>
      <c r="E597" s="1" t="s">
        <v>23</v>
      </c>
      <c r="F597" s="4">
        <v>3303900</v>
      </c>
      <c r="G597" s="4">
        <v>2670000</v>
      </c>
      <c r="H597" s="4">
        <v>557900</v>
      </c>
      <c r="I597" s="4">
        <v>57400</v>
      </c>
      <c r="J597" s="4">
        <v>3400</v>
      </c>
      <c r="K597" s="4">
        <v>1060500</v>
      </c>
      <c r="L597" s="4">
        <v>1042400</v>
      </c>
      <c r="M597" s="4">
        <f>Tabla1[[#This Row],[BASE DEL DIA]]+Tabla1[[#This Row],[ENTREGAS]]+Tabla1[[#This Row],[TARJETAS]]+Tabla1[[#This Row],[NEQUI O QR]]+Tabla1[[#This Row],[VENTAS FE.CREDITO]]-Tabla1[[#This Row],[VENTAS NETAS]]-Tabla1[[#This Row],[BASE ANTERIOR]]</f>
        <v>2900</v>
      </c>
    </row>
    <row r="598" spans="1:13" ht="13.5" customHeight="1" x14ac:dyDescent="0.2">
      <c r="A598" s="1">
        <v>6094</v>
      </c>
      <c r="B598" s="2">
        <v>45575</v>
      </c>
      <c r="C598" s="3" t="s">
        <v>78</v>
      </c>
      <c r="D598" s="1" t="s">
        <v>18</v>
      </c>
      <c r="E598" s="1" t="s">
        <v>22</v>
      </c>
      <c r="F598" s="4">
        <v>2413930</v>
      </c>
      <c r="G598" s="4">
        <v>2172700</v>
      </c>
      <c r="H598" s="4">
        <v>130960</v>
      </c>
      <c r="I598" s="4">
        <v>0</v>
      </c>
      <c r="J598" s="4">
        <v>0</v>
      </c>
      <c r="K598" s="4">
        <v>1042400</v>
      </c>
      <c r="L598" s="4">
        <v>931350</v>
      </c>
      <c r="M598" s="4">
        <f>Tabla1[[#This Row],[BASE DEL DIA]]+Tabla1[[#This Row],[ENTREGAS]]+Tabla1[[#This Row],[TARJETAS]]+Tabla1[[#This Row],[NEQUI O QR]]+Tabla1[[#This Row],[VENTAS FE.CREDITO]]-Tabla1[[#This Row],[VENTAS NETAS]]-Tabla1[[#This Row],[BASE ANTERIOR]]</f>
        <v>780</v>
      </c>
    </row>
    <row r="599" spans="1:13" ht="13.5" customHeight="1" x14ac:dyDescent="0.2">
      <c r="A599" s="1">
        <v>6093</v>
      </c>
      <c r="B599" s="2">
        <v>45574</v>
      </c>
      <c r="C599" s="3" t="s">
        <v>96</v>
      </c>
      <c r="D599" s="1" t="s">
        <v>18</v>
      </c>
      <c r="E599" s="1" t="s">
        <v>23</v>
      </c>
      <c r="F599" s="4">
        <v>3468810</v>
      </c>
      <c r="G599" s="4">
        <v>3145400</v>
      </c>
      <c r="H599" s="4">
        <v>337750</v>
      </c>
      <c r="I599" s="4">
        <v>21500</v>
      </c>
      <c r="J599" s="4">
        <v>19400</v>
      </c>
      <c r="K599" s="4">
        <v>931350</v>
      </c>
      <c r="L599" s="4">
        <v>983750</v>
      </c>
      <c r="M599" s="4">
        <f>Tabla1[[#This Row],[BASE DEL DIA]]+Tabla1[[#This Row],[ENTREGAS]]+Tabla1[[#This Row],[TARJETAS]]+Tabla1[[#This Row],[NEQUI O QR]]+Tabla1[[#This Row],[VENTAS FE.CREDITO]]-Tabla1[[#This Row],[VENTAS NETAS]]-Tabla1[[#This Row],[BASE ANTERIOR]]</f>
        <v>2840</v>
      </c>
    </row>
    <row r="600" spans="1:13" ht="13.5" customHeight="1" x14ac:dyDescent="0.2">
      <c r="A600" s="1">
        <v>6092</v>
      </c>
      <c r="B600" s="2">
        <v>45574</v>
      </c>
      <c r="C600" s="3" t="s">
        <v>53</v>
      </c>
      <c r="D600" s="1" t="s">
        <v>16</v>
      </c>
      <c r="E600" s="1" t="s">
        <v>22</v>
      </c>
      <c r="F600" s="4">
        <v>2652960</v>
      </c>
      <c r="G600" s="4">
        <v>2344800</v>
      </c>
      <c r="H600" s="4">
        <v>235200</v>
      </c>
      <c r="I600" s="4">
        <v>0</v>
      </c>
      <c r="J600" s="4">
        <v>2500</v>
      </c>
      <c r="K600" s="4">
        <v>983750</v>
      </c>
      <c r="L600" s="4">
        <v>910600</v>
      </c>
      <c r="M600" s="4">
        <f>Tabla1[[#This Row],[BASE DEL DIA]]+Tabla1[[#This Row],[ENTREGAS]]+Tabla1[[#This Row],[TARJETAS]]+Tabla1[[#This Row],[NEQUI O QR]]+Tabla1[[#This Row],[VENTAS FE.CREDITO]]-Tabla1[[#This Row],[VENTAS NETAS]]-Tabla1[[#This Row],[BASE ANTERIOR]]</f>
        <v>2690</v>
      </c>
    </row>
    <row r="601" spans="1:13" ht="13.5" customHeight="1" x14ac:dyDescent="0.2">
      <c r="A601" s="1">
        <v>6091</v>
      </c>
      <c r="B601" s="2">
        <v>45573</v>
      </c>
      <c r="C601" s="3" t="s">
        <v>52</v>
      </c>
      <c r="D601" s="1" t="s">
        <v>16</v>
      </c>
      <c r="E601" s="1" t="s">
        <v>22</v>
      </c>
      <c r="F601" s="4">
        <v>2837600</v>
      </c>
      <c r="G601" s="4">
        <v>2621700</v>
      </c>
      <c r="H601" s="4">
        <v>196300</v>
      </c>
      <c r="I601" s="4">
        <v>17500</v>
      </c>
      <c r="J601" s="4">
        <v>13600</v>
      </c>
      <c r="K601" s="4">
        <v>910600</v>
      </c>
      <c r="L601" s="4">
        <v>920950</v>
      </c>
      <c r="M601" s="4">
        <f>Tabla1[[#This Row],[BASE DEL DIA]]+Tabla1[[#This Row],[ENTREGAS]]+Tabla1[[#This Row],[TARJETAS]]+Tabla1[[#This Row],[NEQUI O QR]]+Tabla1[[#This Row],[VENTAS FE.CREDITO]]-Tabla1[[#This Row],[VENTAS NETAS]]-Tabla1[[#This Row],[BASE ANTERIOR]]</f>
        <v>1150</v>
      </c>
    </row>
    <row r="602" spans="1:13" ht="13.5" customHeight="1" x14ac:dyDescent="0.2">
      <c r="A602" s="1">
        <v>6090</v>
      </c>
      <c r="B602" s="2">
        <v>45573</v>
      </c>
      <c r="C602" s="3" t="s">
        <v>116</v>
      </c>
      <c r="D602" s="1" t="s">
        <v>18</v>
      </c>
      <c r="E602" s="1" t="s">
        <v>22</v>
      </c>
      <c r="F602" s="4">
        <v>2307000</v>
      </c>
      <c r="G602" s="4">
        <v>2220000</v>
      </c>
      <c r="H602" s="4">
        <v>103980</v>
      </c>
      <c r="J602" s="4">
        <v>6100</v>
      </c>
      <c r="K602" s="4">
        <v>920950</v>
      </c>
      <c r="L602" s="4">
        <v>941650</v>
      </c>
      <c r="M602" s="4">
        <f>Tabla1[[#This Row],[BASE DEL DIA]]+Tabla1[[#This Row],[ENTREGAS]]+Tabla1[[#This Row],[TARJETAS]]+Tabla1[[#This Row],[NEQUI O QR]]+Tabla1[[#This Row],[VENTAS FE.CREDITO]]-Tabla1[[#This Row],[VENTAS NETAS]]-Tabla1[[#This Row],[BASE ANTERIOR]]</f>
        <v>2380</v>
      </c>
    </row>
    <row r="603" spans="1:13" ht="13.5" customHeight="1" x14ac:dyDescent="0.2">
      <c r="A603" s="1">
        <v>6089</v>
      </c>
      <c r="B603" s="2">
        <v>45572</v>
      </c>
      <c r="C603" s="3" t="s">
        <v>96</v>
      </c>
      <c r="D603" s="1" t="s">
        <v>18</v>
      </c>
      <c r="E603" s="1" t="s">
        <v>23</v>
      </c>
      <c r="F603" s="4">
        <v>4566040</v>
      </c>
      <c r="G603" s="4">
        <v>4115000</v>
      </c>
      <c r="H603" s="4">
        <v>391040</v>
      </c>
      <c r="I603" s="4">
        <v>84700</v>
      </c>
      <c r="J603" s="4">
        <v>0</v>
      </c>
      <c r="K603" s="4">
        <v>941650</v>
      </c>
      <c r="L603" s="4">
        <v>964700</v>
      </c>
      <c r="M603" s="4">
        <f>Tabla1[[#This Row],[BASE DEL DIA]]+Tabla1[[#This Row],[ENTREGAS]]+Tabla1[[#This Row],[TARJETAS]]+Tabla1[[#This Row],[NEQUI O QR]]+Tabla1[[#This Row],[VENTAS FE.CREDITO]]-Tabla1[[#This Row],[VENTAS NETAS]]-Tabla1[[#This Row],[BASE ANTERIOR]]</f>
        <v>1650</v>
      </c>
    </row>
    <row r="604" spans="1:13" ht="13.5" customHeight="1" x14ac:dyDescent="0.2">
      <c r="A604" s="1">
        <v>6088</v>
      </c>
      <c r="B604" s="2">
        <v>45572</v>
      </c>
      <c r="C604" s="3" t="s">
        <v>74</v>
      </c>
      <c r="D604" s="1" t="s">
        <v>16</v>
      </c>
      <c r="E604" s="1" t="s">
        <v>22</v>
      </c>
      <c r="F604" s="4">
        <v>2490100</v>
      </c>
      <c r="G604" s="4">
        <v>2405500</v>
      </c>
      <c r="H604" s="4">
        <v>67100</v>
      </c>
      <c r="I604" s="4">
        <v>0</v>
      </c>
      <c r="J604" s="4">
        <v>5000</v>
      </c>
      <c r="K604" s="4">
        <v>959700</v>
      </c>
      <c r="L604" s="4">
        <v>962150</v>
      </c>
      <c r="M604" s="4">
        <f>Tabla1[[#This Row],[BASE DEL DIA]]+Tabla1[[#This Row],[ENTREGAS]]+Tabla1[[#This Row],[TARJETAS]]+Tabla1[[#This Row],[NEQUI O QR]]+Tabla1[[#This Row],[VENTAS FE.CREDITO]]-Tabla1[[#This Row],[VENTAS NETAS]]-Tabla1[[#This Row],[BASE ANTERIOR]]</f>
        <v>-14950</v>
      </c>
    </row>
    <row r="605" spans="1:13" ht="13.5" customHeight="1" x14ac:dyDescent="0.2">
      <c r="A605" s="1">
        <v>6087</v>
      </c>
      <c r="B605" s="2">
        <v>45571</v>
      </c>
      <c r="C605" s="3" t="s">
        <v>110</v>
      </c>
      <c r="D605" s="1" t="s">
        <v>98</v>
      </c>
      <c r="E605" s="1" t="s">
        <v>23</v>
      </c>
      <c r="F605" s="4">
        <v>5546300</v>
      </c>
      <c r="G605" s="4">
        <v>5141500</v>
      </c>
      <c r="H605" s="4">
        <v>447700</v>
      </c>
      <c r="I605" s="4">
        <v>0</v>
      </c>
      <c r="J605" s="4">
        <v>6700</v>
      </c>
      <c r="K605" s="4">
        <v>962150</v>
      </c>
      <c r="L605" s="4">
        <v>1011550</v>
      </c>
      <c r="M605" s="4">
        <f>Tabla1[[#This Row],[BASE DEL DIA]]+Tabla1[[#This Row],[ENTREGAS]]+Tabla1[[#This Row],[TARJETAS]]+Tabla1[[#This Row],[NEQUI O QR]]+Tabla1[[#This Row],[VENTAS FE.CREDITO]]-Tabla1[[#This Row],[VENTAS NETAS]]-Tabla1[[#This Row],[BASE ANTERIOR]]</f>
        <v>200</v>
      </c>
    </row>
    <row r="606" spans="1:13" ht="13.5" customHeight="1" x14ac:dyDescent="0.2">
      <c r="B606" s="2">
        <v>45571</v>
      </c>
      <c r="C606" s="3" t="s">
        <v>104</v>
      </c>
      <c r="D606" s="1" t="s">
        <v>17</v>
      </c>
      <c r="E606" s="1" t="s">
        <v>23</v>
      </c>
      <c r="F606" s="4">
        <v>3507400</v>
      </c>
      <c r="G606" s="4">
        <v>3000000</v>
      </c>
      <c r="H606" s="4">
        <v>205800</v>
      </c>
      <c r="I606" s="4">
        <v>110000</v>
      </c>
      <c r="K606" s="4">
        <v>1011550</v>
      </c>
      <c r="L606" s="4">
        <v>821000</v>
      </c>
      <c r="M606" s="4">
        <f>Tabla1[[#This Row],[BASE DEL DIA]]+Tabla1[[#This Row],[ENTREGAS]]+Tabla1[[#This Row],[TARJETAS]]+Tabla1[[#This Row],[NEQUI O QR]]+Tabla1[[#This Row],[VENTAS FE.CREDITO]]-Tabla1[[#This Row],[VENTAS NETAS]]-Tabla1[[#This Row],[BASE ANTERIOR]]</f>
        <v>-1050</v>
      </c>
    </row>
    <row r="607" spans="1:13" ht="13.5" customHeight="1" x14ac:dyDescent="0.2">
      <c r="A607" s="1">
        <v>6085</v>
      </c>
      <c r="B607" s="2">
        <v>45570</v>
      </c>
      <c r="C607" s="3" t="s">
        <v>130</v>
      </c>
      <c r="D607" s="1" t="s">
        <v>17</v>
      </c>
      <c r="E607" s="1" t="s">
        <v>23</v>
      </c>
      <c r="F607" s="4">
        <v>3896200</v>
      </c>
      <c r="G607" s="4">
        <v>3792500</v>
      </c>
      <c r="H607" s="4">
        <v>181200</v>
      </c>
      <c r="I607" s="4">
        <v>13900</v>
      </c>
      <c r="J607" s="4">
        <v>21200</v>
      </c>
      <c r="K607" s="4">
        <v>821000</v>
      </c>
      <c r="L607" s="4">
        <v>931650</v>
      </c>
      <c r="M607" s="4">
        <f>Tabla1[[#This Row],[BASE DEL DIA]]+Tabla1[[#This Row],[ENTREGAS]]+Tabla1[[#This Row],[TARJETAS]]+Tabla1[[#This Row],[NEQUI O QR]]+Tabla1[[#This Row],[VENTAS FE.CREDITO]]-Tabla1[[#This Row],[VENTAS NETAS]]-Tabla1[[#This Row],[BASE ANTERIOR]]</f>
        <v>1950</v>
      </c>
    </row>
    <row r="608" spans="1:13" ht="13.5" customHeight="1" x14ac:dyDescent="0.2">
      <c r="A608" s="1">
        <v>6084</v>
      </c>
      <c r="B608" s="2">
        <v>45570</v>
      </c>
      <c r="C608" s="3" t="s">
        <v>91</v>
      </c>
      <c r="D608" s="1" t="s">
        <v>16</v>
      </c>
      <c r="E608" s="1" t="s">
        <v>22</v>
      </c>
      <c r="F608" s="4">
        <v>3190200</v>
      </c>
      <c r="G608" s="4">
        <v>3052300</v>
      </c>
      <c r="H608" s="4">
        <v>146800</v>
      </c>
      <c r="I608" s="4">
        <v>0</v>
      </c>
      <c r="J608" s="4">
        <v>5300</v>
      </c>
      <c r="K608" s="4">
        <v>931650</v>
      </c>
      <c r="L608" s="4">
        <v>948900</v>
      </c>
      <c r="M608" s="4">
        <f>Tabla1[[#This Row],[BASE DEL DIA]]+Tabla1[[#This Row],[ENTREGAS]]+Tabla1[[#This Row],[TARJETAS]]+Tabla1[[#This Row],[NEQUI O QR]]+Tabla1[[#This Row],[VENTAS FE.CREDITO]]-Tabla1[[#This Row],[VENTAS NETAS]]-Tabla1[[#This Row],[BASE ANTERIOR]]</f>
        <v>-3050</v>
      </c>
    </row>
    <row r="609" spans="1:13" ht="13.5" customHeight="1" x14ac:dyDescent="0.2">
      <c r="A609" s="1">
        <v>6083</v>
      </c>
      <c r="B609" s="2">
        <v>45569</v>
      </c>
      <c r="C609" s="3" t="s">
        <v>130</v>
      </c>
      <c r="D609" s="1" t="s">
        <v>98</v>
      </c>
      <c r="E609" s="1" t="s">
        <v>23</v>
      </c>
      <c r="F609" s="4">
        <v>2991300</v>
      </c>
      <c r="G609" s="4">
        <v>2600000</v>
      </c>
      <c r="H609" s="4">
        <v>287800</v>
      </c>
      <c r="I609" s="4">
        <v>0</v>
      </c>
      <c r="J609" s="4">
        <v>22300</v>
      </c>
      <c r="K609" s="4">
        <v>948900</v>
      </c>
      <c r="L609" s="4">
        <v>869000</v>
      </c>
      <c r="M609" s="4">
        <f>Tabla1[[#This Row],[BASE DEL DIA]]+Tabla1[[#This Row],[ENTREGAS]]+Tabla1[[#This Row],[TARJETAS]]+Tabla1[[#This Row],[NEQUI O QR]]+Tabla1[[#This Row],[VENTAS FE.CREDITO]]-Tabla1[[#This Row],[VENTAS NETAS]]-Tabla1[[#This Row],[BASE ANTERIOR]]</f>
        <v>-1300</v>
      </c>
    </row>
    <row r="610" spans="1:13" ht="13.5" customHeight="1" x14ac:dyDescent="0.2">
      <c r="A610" s="1">
        <v>6062</v>
      </c>
      <c r="B610" s="2">
        <v>45569</v>
      </c>
      <c r="C610" s="3" t="s">
        <v>80</v>
      </c>
      <c r="D610" s="1" t="s">
        <v>17</v>
      </c>
      <c r="E610" s="1" t="s">
        <v>22</v>
      </c>
      <c r="F610" s="4">
        <v>2432900</v>
      </c>
      <c r="G610" s="4">
        <v>2317500</v>
      </c>
      <c r="H610" s="4">
        <v>90700</v>
      </c>
      <c r="I610" s="4">
        <v>0</v>
      </c>
      <c r="J610" s="4">
        <v>3900</v>
      </c>
      <c r="K610" s="4">
        <v>869000</v>
      </c>
      <c r="L610" s="4">
        <v>847100</v>
      </c>
      <c r="M610" s="4">
        <f>Tabla1[[#This Row],[BASE DEL DIA]]+Tabla1[[#This Row],[ENTREGAS]]+Tabla1[[#This Row],[TARJETAS]]+Tabla1[[#This Row],[NEQUI O QR]]+Tabla1[[#This Row],[VENTAS FE.CREDITO]]-Tabla1[[#This Row],[VENTAS NETAS]]-Tabla1[[#This Row],[BASE ANTERIOR]]</f>
        <v>1100</v>
      </c>
    </row>
    <row r="611" spans="1:13" ht="13.5" customHeight="1" x14ac:dyDescent="0.2">
      <c r="A611" s="1">
        <v>6081</v>
      </c>
      <c r="B611" s="2">
        <v>45568</v>
      </c>
      <c r="C611" s="3" t="s">
        <v>72</v>
      </c>
      <c r="D611" s="1" t="s">
        <v>17</v>
      </c>
      <c r="E611" s="1" t="s">
        <v>23</v>
      </c>
      <c r="F611" s="4">
        <v>4152300</v>
      </c>
      <c r="G611" s="4">
        <v>4020000</v>
      </c>
      <c r="H611" s="4">
        <v>197800</v>
      </c>
      <c r="I611" s="4">
        <v>0</v>
      </c>
      <c r="J611" s="4">
        <v>15900</v>
      </c>
      <c r="K611" s="4">
        <v>847100</v>
      </c>
      <c r="L611" s="4">
        <v>939000</v>
      </c>
      <c r="M611" s="4">
        <f>Tabla1[[#This Row],[BASE DEL DIA]]+Tabla1[[#This Row],[ENTREGAS]]+Tabla1[[#This Row],[TARJETAS]]+Tabla1[[#This Row],[NEQUI O QR]]+Tabla1[[#This Row],[VENTAS FE.CREDITO]]-Tabla1[[#This Row],[VENTAS NETAS]]-Tabla1[[#This Row],[BASE ANTERIOR]]</f>
        <v>-10500</v>
      </c>
    </row>
    <row r="612" spans="1:13" ht="13.5" customHeight="1" x14ac:dyDescent="0.2">
      <c r="A612" s="1">
        <v>6080</v>
      </c>
      <c r="B612" s="2">
        <v>45568</v>
      </c>
      <c r="C612" s="3" t="s">
        <v>157</v>
      </c>
      <c r="D612" s="1" t="s">
        <v>19</v>
      </c>
      <c r="E612" s="1" t="s">
        <v>22</v>
      </c>
      <c r="F612" s="4">
        <v>3636200</v>
      </c>
      <c r="G612" s="4">
        <v>3299400</v>
      </c>
      <c r="H612" s="4">
        <v>134300</v>
      </c>
      <c r="I612" s="4">
        <v>200000</v>
      </c>
      <c r="J612" s="4">
        <v>0</v>
      </c>
      <c r="K612" s="4">
        <v>939000</v>
      </c>
      <c r="L612" s="4">
        <v>938550</v>
      </c>
      <c r="M612" s="4">
        <f>Tabla1[[#This Row],[BASE DEL DIA]]+Tabla1[[#This Row],[ENTREGAS]]+Tabla1[[#This Row],[TARJETAS]]+Tabla1[[#This Row],[NEQUI O QR]]+Tabla1[[#This Row],[VENTAS FE.CREDITO]]-Tabla1[[#This Row],[VENTAS NETAS]]-Tabla1[[#This Row],[BASE ANTERIOR]]</f>
        <v>-2050</v>
      </c>
    </row>
    <row r="613" spans="1:13" ht="13.5" customHeight="1" x14ac:dyDescent="0.2">
      <c r="A613" s="1">
        <v>6079</v>
      </c>
      <c r="B613" s="2">
        <v>45567</v>
      </c>
      <c r="C613" s="3" t="s">
        <v>72</v>
      </c>
      <c r="D613" s="1" t="s">
        <v>98</v>
      </c>
      <c r="E613" s="1" t="s">
        <v>22</v>
      </c>
      <c r="F613" s="4">
        <v>4862100</v>
      </c>
      <c r="G613" s="4">
        <v>4498000</v>
      </c>
      <c r="H613" s="4">
        <v>263700</v>
      </c>
      <c r="I613" s="4">
        <v>23900</v>
      </c>
      <c r="J613" s="4">
        <v>150000</v>
      </c>
      <c r="K613" s="4">
        <v>938550</v>
      </c>
      <c r="L613" s="4">
        <v>1024150</v>
      </c>
      <c r="M613" s="4">
        <f>Tabla1[[#This Row],[BASE DEL DIA]]+Tabla1[[#This Row],[ENTREGAS]]+Tabla1[[#This Row],[TARJETAS]]+Tabla1[[#This Row],[NEQUI O QR]]+Tabla1[[#This Row],[VENTAS FE.CREDITO]]-Tabla1[[#This Row],[VENTAS NETAS]]-Tabla1[[#This Row],[BASE ANTERIOR]]</f>
        <v>-12100</v>
      </c>
    </row>
    <row r="614" spans="1:13" ht="13.5" customHeight="1" x14ac:dyDescent="0.2">
      <c r="A614" s="1">
        <v>6078</v>
      </c>
      <c r="B614" s="2">
        <v>45567</v>
      </c>
      <c r="C614" s="3" t="s">
        <v>151</v>
      </c>
      <c r="D614" s="1" t="s">
        <v>17</v>
      </c>
      <c r="E614" s="1" t="s">
        <v>22</v>
      </c>
      <c r="F614" s="4">
        <v>3124600</v>
      </c>
      <c r="G614" s="4">
        <v>2983600</v>
      </c>
      <c r="H614" s="4">
        <v>7400</v>
      </c>
      <c r="I614" s="4">
        <v>0</v>
      </c>
      <c r="J614" s="4">
        <v>0</v>
      </c>
      <c r="K614" s="4">
        <v>1024150</v>
      </c>
      <c r="L614" s="4">
        <v>895150</v>
      </c>
      <c r="M614" s="4">
        <f>Tabla1[[#This Row],[BASE DEL DIA]]+Tabla1[[#This Row],[ENTREGAS]]+Tabla1[[#This Row],[TARJETAS]]+Tabla1[[#This Row],[NEQUI O QR]]+Tabla1[[#This Row],[VENTAS FE.CREDITO]]-Tabla1[[#This Row],[VENTAS NETAS]]-Tabla1[[#This Row],[BASE ANTERIOR]]</f>
        <v>-4600</v>
      </c>
    </row>
    <row r="615" spans="1:13" ht="13.5" customHeight="1" x14ac:dyDescent="0.2">
      <c r="A615" s="1">
        <v>6077</v>
      </c>
      <c r="B615" s="2">
        <v>45566</v>
      </c>
      <c r="C615" s="3" t="s">
        <v>73</v>
      </c>
      <c r="D615" s="1" t="s">
        <v>17</v>
      </c>
      <c r="E615" s="1" t="s">
        <v>23</v>
      </c>
      <c r="F615" s="4">
        <v>5293200</v>
      </c>
      <c r="G615" s="4">
        <v>4840700</v>
      </c>
      <c r="H615" s="4">
        <v>353800</v>
      </c>
      <c r="I615" s="4">
        <v>40400</v>
      </c>
      <c r="J615" s="4">
        <v>52100</v>
      </c>
      <c r="K615" s="4">
        <v>895150</v>
      </c>
      <c r="L615" s="4">
        <v>889750</v>
      </c>
      <c r="M615" s="4">
        <f>Tabla1[[#This Row],[BASE DEL DIA]]+Tabla1[[#This Row],[ENTREGAS]]+Tabla1[[#This Row],[TARJETAS]]+Tabla1[[#This Row],[NEQUI O QR]]+Tabla1[[#This Row],[VENTAS FE.CREDITO]]-Tabla1[[#This Row],[VENTAS NETAS]]-Tabla1[[#This Row],[BASE ANTERIOR]]</f>
        <v>-800</v>
      </c>
    </row>
    <row r="616" spans="1:13" ht="13.5" customHeight="1" x14ac:dyDescent="0.2">
      <c r="A616" s="1">
        <v>6076</v>
      </c>
      <c r="B616" s="2">
        <v>45566</v>
      </c>
      <c r="C616" s="3" t="s">
        <v>76</v>
      </c>
      <c r="D616" s="1" t="s">
        <v>98</v>
      </c>
      <c r="E616" s="1" t="s">
        <v>22</v>
      </c>
      <c r="F616" s="4">
        <v>3858700</v>
      </c>
      <c r="G616" s="4">
        <v>3200000</v>
      </c>
      <c r="H616" s="4">
        <v>581600</v>
      </c>
      <c r="I616" s="4">
        <v>123500</v>
      </c>
      <c r="J616" s="4">
        <v>0</v>
      </c>
      <c r="K616" s="4">
        <v>889750</v>
      </c>
      <c r="L616" s="4">
        <v>931850</v>
      </c>
      <c r="M616" s="4">
        <f>Tabla1[[#This Row],[BASE DEL DIA]]+Tabla1[[#This Row],[ENTREGAS]]+Tabla1[[#This Row],[TARJETAS]]+Tabla1[[#This Row],[NEQUI O QR]]+Tabla1[[#This Row],[VENTAS FE.CREDITO]]-Tabla1[[#This Row],[VENTAS NETAS]]-Tabla1[[#This Row],[BASE ANTERIOR]]</f>
        <v>4300</v>
      </c>
    </row>
    <row r="617" spans="1:13" ht="13.5" customHeight="1" x14ac:dyDescent="0.2">
      <c r="A617" s="1">
        <v>6075</v>
      </c>
      <c r="B617" s="2">
        <v>45565</v>
      </c>
      <c r="C617" s="3" t="s">
        <v>40</v>
      </c>
      <c r="D617" s="1" t="s">
        <v>17</v>
      </c>
      <c r="E617" s="1" t="s">
        <v>22</v>
      </c>
      <c r="F617" s="4">
        <v>5542800</v>
      </c>
      <c r="G617" s="4">
        <v>4510000</v>
      </c>
      <c r="H617" s="4">
        <v>1027900</v>
      </c>
      <c r="I617" s="4">
        <v>7600</v>
      </c>
      <c r="J617" s="4">
        <v>0</v>
      </c>
      <c r="K617" s="4">
        <v>931850</v>
      </c>
      <c r="L617" s="4">
        <v>934000</v>
      </c>
      <c r="M617" s="4">
        <f>Tabla1[[#This Row],[BASE DEL DIA]]+Tabla1[[#This Row],[ENTREGAS]]+Tabla1[[#This Row],[TARJETAS]]+Tabla1[[#This Row],[NEQUI O QR]]+Tabla1[[#This Row],[VENTAS FE.CREDITO]]-Tabla1[[#This Row],[VENTAS NETAS]]-Tabla1[[#This Row],[BASE ANTERIOR]]</f>
        <v>550</v>
      </c>
    </row>
    <row r="618" spans="1:13" ht="13.5" customHeight="1" x14ac:dyDescent="0.2">
      <c r="A618" s="1">
        <v>6074</v>
      </c>
      <c r="B618" s="2">
        <v>45565</v>
      </c>
      <c r="C618" s="3" t="s">
        <v>101</v>
      </c>
      <c r="D618" s="1" t="s">
        <v>17</v>
      </c>
      <c r="E618" s="1" t="s">
        <v>22</v>
      </c>
      <c r="F618" s="4">
        <v>2459700</v>
      </c>
      <c r="G618" s="4">
        <v>2425600</v>
      </c>
      <c r="H618" s="4">
        <v>22500</v>
      </c>
      <c r="I618" s="4">
        <v>0</v>
      </c>
      <c r="J618" s="4">
        <v>0</v>
      </c>
      <c r="K618" s="4">
        <v>934000</v>
      </c>
      <c r="L618" s="4">
        <v>925800</v>
      </c>
      <c r="M618" s="4">
        <f>Tabla1[[#This Row],[BASE DEL DIA]]+Tabla1[[#This Row],[ENTREGAS]]+Tabla1[[#This Row],[TARJETAS]]+Tabla1[[#This Row],[NEQUI O QR]]+Tabla1[[#This Row],[VENTAS FE.CREDITO]]-Tabla1[[#This Row],[VENTAS NETAS]]-Tabla1[[#This Row],[BASE ANTERIOR]]</f>
        <v>-3400</v>
      </c>
    </row>
    <row r="619" spans="1:13" ht="13.5" customHeight="1" x14ac:dyDescent="0.2">
      <c r="A619" s="1">
        <v>6073</v>
      </c>
      <c r="B619" s="2">
        <v>45564</v>
      </c>
      <c r="C619" s="3" t="s">
        <v>96</v>
      </c>
      <c r="D619" s="1" t="s">
        <v>18</v>
      </c>
      <c r="E619" s="1" t="s">
        <v>23</v>
      </c>
      <c r="F619" s="4">
        <v>5113100</v>
      </c>
      <c r="G619" s="4">
        <v>4911000</v>
      </c>
      <c r="H619" s="4">
        <v>213820</v>
      </c>
      <c r="I619" s="4">
        <v>2500</v>
      </c>
      <c r="J619" s="4">
        <v>0</v>
      </c>
      <c r="K619" s="4">
        <v>925800</v>
      </c>
      <c r="L619" s="4">
        <v>937600</v>
      </c>
      <c r="M619" s="4">
        <f>Tabla1[[#This Row],[BASE DEL DIA]]+Tabla1[[#This Row],[ENTREGAS]]+Tabla1[[#This Row],[TARJETAS]]+Tabla1[[#This Row],[NEQUI O QR]]+Tabla1[[#This Row],[VENTAS FE.CREDITO]]-Tabla1[[#This Row],[VENTAS NETAS]]-Tabla1[[#This Row],[BASE ANTERIOR]]</f>
        <v>2420</v>
      </c>
    </row>
    <row r="620" spans="1:13" ht="13.5" customHeight="1" x14ac:dyDescent="0.2">
      <c r="A620" s="1">
        <v>6072</v>
      </c>
      <c r="B620" s="2">
        <v>45564</v>
      </c>
      <c r="C620" s="3" t="s">
        <v>112</v>
      </c>
      <c r="D620" s="1" t="s">
        <v>16</v>
      </c>
      <c r="E620" s="1" t="s">
        <v>22</v>
      </c>
      <c r="F620" s="4">
        <v>3998600</v>
      </c>
      <c r="G620" s="4">
        <v>3800000</v>
      </c>
      <c r="H620" s="4">
        <v>258600</v>
      </c>
      <c r="I620" s="4">
        <v>0</v>
      </c>
      <c r="J620" s="4">
        <v>0</v>
      </c>
      <c r="K620" s="4">
        <v>937600</v>
      </c>
      <c r="L620" s="4">
        <v>992500</v>
      </c>
      <c r="M620" s="4">
        <f>Tabla1[[#This Row],[BASE DEL DIA]]+Tabla1[[#This Row],[ENTREGAS]]+Tabla1[[#This Row],[TARJETAS]]+Tabla1[[#This Row],[NEQUI O QR]]+Tabla1[[#This Row],[VENTAS FE.CREDITO]]-Tabla1[[#This Row],[VENTAS NETAS]]-Tabla1[[#This Row],[BASE ANTERIOR]]</f>
        <v>5100</v>
      </c>
    </row>
    <row r="621" spans="1:13" ht="13.5" customHeight="1" x14ac:dyDescent="0.2">
      <c r="A621" s="1">
        <v>6071</v>
      </c>
      <c r="B621" s="2">
        <v>45563</v>
      </c>
      <c r="C621" s="3" t="s">
        <v>105</v>
      </c>
      <c r="D621" s="1" t="s">
        <v>16</v>
      </c>
      <c r="E621" s="1" t="s">
        <v>23</v>
      </c>
      <c r="F621" s="4">
        <v>4187700</v>
      </c>
      <c r="G621" s="4">
        <v>3900000</v>
      </c>
      <c r="H621" s="4">
        <v>259700</v>
      </c>
      <c r="I621" s="4">
        <v>0</v>
      </c>
      <c r="J621" s="4">
        <v>9000</v>
      </c>
      <c r="K621" s="4">
        <v>992500</v>
      </c>
      <c r="L621" s="4">
        <v>976050</v>
      </c>
      <c r="M621" s="4">
        <f>Tabla1[[#This Row],[BASE DEL DIA]]+Tabla1[[#This Row],[ENTREGAS]]+Tabla1[[#This Row],[TARJETAS]]+Tabla1[[#This Row],[NEQUI O QR]]+Tabla1[[#This Row],[VENTAS FE.CREDITO]]-Tabla1[[#This Row],[VENTAS NETAS]]-Tabla1[[#This Row],[BASE ANTERIOR]]</f>
        <v>-2550</v>
      </c>
    </row>
    <row r="622" spans="1:13" ht="13.5" customHeight="1" x14ac:dyDescent="0.2">
      <c r="A622" s="1">
        <v>6070</v>
      </c>
      <c r="B622" s="2">
        <v>45563</v>
      </c>
      <c r="C622" s="3" t="s">
        <v>91</v>
      </c>
      <c r="D622" s="1" t="s">
        <v>18</v>
      </c>
      <c r="E622" s="1" t="s">
        <v>23</v>
      </c>
      <c r="F622" s="4">
        <v>3285550</v>
      </c>
      <c r="G622" s="4">
        <v>2721500</v>
      </c>
      <c r="H622" s="4">
        <v>522580</v>
      </c>
      <c r="I622" s="4">
        <v>22600</v>
      </c>
      <c r="K622" s="4">
        <v>976050</v>
      </c>
      <c r="L622" s="4">
        <v>954650</v>
      </c>
      <c r="M622" s="4">
        <f>Tabla1[[#This Row],[BASE DEL DIA]]+Tabla1[[#This Row],[ENTREGAS]]+Tabla1[[#This Row],[TARJETAS]]+Tabla1[[#This Row],[NEQUI O QR]]+Tabla1[[#This Row],[VENTAS FE.CREDITO]]-Tabla1[[#This Row],[VENTAS NETAS]]-Tabla1[[#This Row],[BASE ANTERIOR]]</f>
        <v>2530</v>
      </c>
    </row>
    <row r="623" spans="1:13" ht="13.5" customHeight="1" x14ac:dyDescent="0.2">
      <c r="A623" s="1">
        <v>6069</v>
      </c>
      <c r="B623" s="2">
        <v>45562</v>
      </c>
      <c r="C623" s="3" t="s">
        <v>107</v>
      </c>
      <c r="D623" s="1" t="s">
        <v>18</v>
      </c>
      <c r="E623" s="1" t="s">
        <v>23</v>
      </c>
      <c r="F623" s="4">
        <v>2675020</v>
      </c>
      <c r="G623" s="4">
        <v>2393800</v>
      </c>
      <c r="H623" s="4">
        <v>198920</v>
      </c>
      <c r="I623" s="4">
        <v>0</v>
      </c>
      <c r="J623" s="4">
        <v>1900</v>
      </c>
      <c r="K623" s="4">
        <v>954650</v>
      </c>
      <c r="L623" s="4">
        <v>879800</v>
      </c>
      <c r="M623" s="4">
        <f>Tabla1[[#This Row],[BASE DEL DIA]]+Tabla1[[#This Row],[ENTREGAS]]+Tabla1[[#This Row],[TARJETAS]]+Tabla1[[#This Row],[NEQUI O QR]]+Tabla1[[#This Row],[VENTAS FE.CREDITO]]-Tabla1[[#This Row],[VENTAS NETAS]]-Tabla1[[#This Row],[BASE ANTERIOR]]</f>
        <v>-5550</v>
      </c>
    </row>
    <row r="624" spans="1:13" ht="13.5" customHeight="1" x14ac:dyDescent="0.2">
      <c r="A624" s="1">
        <v>6068</v>
      </c>
      <c r="B624" s="2">
        <v>45562</v>
      </c>
      <c r="C624" s="3" t="s">
        <v>151</v>
      </c>
      <c r="D624" s="1" t="s">
        <v>16</v>
      </c>
      <c r="E624" s="1" t="s">
        <v>22</v>
      </c>
      <c r="F624" s="4">
        <v>2216700</v>
      </c>
      <c r="G624" s="4">
        <v>2140000</v>
      </c>
      <c r="H624" s="4">
        <v>97400</v>
      </c>
      <c r="I624" s="4">
        <v>1600</v>
      </c>
      <c r="J624" s="4">
        <v>3100</v>
      </c>
      <c r="K624" s="4">
        <v>879800</v>
      </c>
      <c r="L624" s="4">
        <v>906150</v>
      </c>
      <c r="M624" s="4">
        <f>Tabla1[[#This Row],[BASE DEL DIA]]+Tabla1[[#This Row],[ENTREGAS]]+Tabla1[[#This Row],[TARJETAS]]+Tabla1[[#This Row],[NEQUI O QR]]+Tabla1[[#This Row],[VENTAS FE.CREDITO]]-Tabla1[[#This Row],[VENTAS NETAS]]-Tabla1[[#This Row],[BASE ANTERIOR]]</f>
        <v>-950</v>
      </c>
    </row>
    <row r="625" spans="1:13" ht="13.5" customHeight="1" x14ac:dyDescent="0.2">
      <c r="A625" s="1">
        <v>6067</v>
      </c>
      <c r="B625" s="2">
        <v>45561</v>
      </c>
      <c r="C625" s="3" t="s">
        <v>110</v>
      </c>
      <c r="D625" s="1" t="s">
        <v>16</v>
      </c>
      <c r="E625" s="1" t="s">
        <v>23</v>
      </c>
      <c r="F625" s="4">
        <v>3218600</v>
      </c>
      <c r="G625" s="4">
        <v>3060000</v>
      </c>
      <c r="H625" s="4">
        <v>148000</v>
      </c>
      <c r="I625" s="4">
        <v>47700</v>
      </c>
      <c r="J625" s="4">
        <v>6200</v>
      </c>
      <c r="K625" s="4">
        <v>906150</v>
      </c>
      <c r="L625" s="4">
        <v>950100</v>
      </c>
      <c r="M625" s="4">
        <f>Tabla1[[#This Row],[BASE DEL DIA]]+Tabla1[[#This Row],[ENTREGAS]]+Tabla1[[#This Row],[TARJETAS]]+Tabla1[[#This Row],[NEQUI O QR]]+Tabla1[[#This Row],[VENTAS FE.CREDITO]]-Tabla1[[#This Row],[VENTAS NETAS]]-Tabla1[[#This Row],[BASE ANTERIOR]]</f>
        <v>-650</v>
      </c>
    </row>
    <row r="626" spans="1:13" ht="13.5" customHeight="1" x14ac:dyDescent="0.2">
      <c r="A626" s="1">
        <v>6066</v>
      </c>
      <c r="B626" s="2">
        <v>45561</v>
      </c>
      <c r="C626" s="3" t="s">
        <v>91</v>
      </c>
      <c r="D626" s="1" t="s">
        <v>18</v>
      </c>
      <c r="E626" s="1" t="s">
        <v>22</v>
      </c>
      <c r="F626" s="4">
        <v>2022820</v>
      </c>
      <c r="G626" s="4">
        <v>1910000</v>
      </c>
      <c r="H626" s="4">
        <v>58700</v>
      </c>
      <c r="I626" s="4">
        <v>0</v>
      </c>
      <c r="J626" s="4">
        <v>8700</v>
      </c>
      <c r="K626" s="4">
        <v>950100</v>
      </c>
      <c r="L626" s="4">
        <v>903650</v>
      </c>
      <c r="M626" s="4">
        <f>Tabla1[[#This Row],[BASE DEL DIA]]+Tabla1[[#This Row],[ENTREGAS]]+Tabla1[[#This Row],[TARJETAS]]+Tabla1[[#This Row],[NEQUI O QR]]+Tabla1[[#This Row],[VENTAS FE.CREDITO]]-Tabla1[[#This Row],[VENTAS NETAS]]-Tabla1[[#This Row],[BASE ANTERIOR]]</f>
        <v>1030</v>
      </c>
    </row>
    <row r="627" spans="1:13" ht="13.5" customHeight="1" x14ac:dyDescent="0.2">
      <c r="A627" s="1">
        <v>6065</v>
      </c>
      <c r="B627" s="2">
        <v>45560</v>
      </c>
      <c r="C627" s="3" t="s">
        <v>130</v>
      </c>
      <c r="D627" s="1" t="s">
        <v>18</v>
      </c>
      <c r="E627" s="1" t="s">
        <v>23</v>
      </c>
      <c r="F627" s="4">
        <v>4089970</v>
      </c>
      <c r="G627" s="4">
        <v>3380000</v>
      </c>
      <c r="H627" s="4">
        <v>809900</v>
      </c>
      <c r="I627" s="4">
        <v>5400</v>
      </c>
      <c r="J627" s="4">
        <v>5100</v>
      </c>
      <c r="K627" s="4">
        <v>903650</v>
      </c>
      <c r="L627" s="4">
        <v>1013100</v>
      </c>
      <c r="M627" s="4">
        <f>Tabla1[[#This Row],[BASE DEL DIA]]+Tabla1[[#This Row],[ENTREGAS]]+Tabla1[[#This Row],[TARJETAS]]+Tabla1[[#This Row],[NEQUI O QR]]+Tabla1[[#This Row],[VENTAS FE.CREDITO]]-Tabla1[[#This Row],[VENTAS NETAS]]-Tabla1[[#This Row],[BASE ANTERIOR]]</f>
        <v>980</v>
      </c>
    </row>
    <row r="628" spans="1:13" ht="13.5" customHeight="1" x14ac:dyDescent="0.2">
      <c r="A628" s="1">
        <v>6064</v>
      </c>
      <c r="B628" s="2">
        <v>45560</v>
      </c>
      <c r="C628" s="3" t="s">
        <v>108</v>
      </c>
      <c r="D628" s="1" t="s">
        <v>16</v>
      </c>
      <c r="E628" s="1" t="s">
        <v>22</v>
      </c>
      <c r="F628" s="4">
        <v>2882200</v>
      </c>
      <c r="G628" s="4">
        <v>2510000</v>
      </c>
      <c r="H628" s="4">
        <v>292400</v>
      </c>
      <c r="I628" s="4">
        <v>33400</v>
      </c>
      <c r="J628" s="4">
        <v>5400</v>
      </c>
      <c r="K628" s="4">
        <v>1013100</v>
      </c>
      <c r="L628" s="4">
        <v>972000</v>
      </c>
      <c r="M628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629" spans="1:13" ht="13.5" customHeight="1" x14ac:dyDescent="0.2">
      <c r="A629" s="1">
        <v>6063</v>
      </c>
      <c r="B629" s="2">
        <v>45559</v>
      </c>
      <c r="C629" s="3" t="s">
        <v>96</v>
      </c>
      <c r="D629" s="1" t="s">
        <v>18</v>
      </c>
      <c r="E629" s="1" t="s">
        <v>23</v>
      </c>
      <c r="F629" s="4">
        <v>3905639</v>
      </c>
      <c r="G629" s="4">
        <v>3513100</v>
      </c>
      <c r="H629" s="4">
        <v>295460</v>
      </c>
      <c r="I629" s="4">
        <v>13000</v>
      </c>
      <c r="J629" s="4">
        <v>9400</v>
      </c>
      <c r="K629" s="4">
        <v>972000</v>
      </c>
      <c r="L629" s="4">
        <v>896700</v>
      </c>
      <c r="M629" s="4">
        <f>Tabla1[[#This Row],[BASE DEL DIA]]+Tabla1[[#This Row],[ENTREGAS]]+Tabla1[[#This Row],[TARJETAS]]+Tabla1[[#This Row],[NEQUI O QR]]+Tabla1[[#This Row],[VENTAS FE.CREDITO]]-Tabla1[[#This Row],[VENTAS NETAS]]-Tabla1[[#This Row],[BASE ANTERIOR]]</f>
        <v>621</v>
      </c>
    </row>
    <row r="630" spans="1:13" ht="13.5" customHeight="1" x14ac:dyDescent="0.2">
      <c r="A630" s="1">
        <v>6062</v>
      </c>
      <c r="B630" s="2">
        <v>45559</v>
      </c>
      <c r="C630" s="3" t="s">
        <v>135</v>
      </c>
      <c r="D630" s="1" t="s">
        <v>19</v>
      </c>
      <c r="E630" s="1" t="s">
        <v>22</v>
      </c>
      <c r="F630" s="4">
        <v>2818910</v>
      </c>
      <c r="G630" s="4">
        <v>2750000</v>
      </c>
      <c r="H630" s="4">
        <v>44500</v>
      </c>
      <c r="I630" s="4">
        <v>10900</v>
      </c>
      <c r="J630" s="4">
        <v>7500</v>
      </c>
      <c r="K630" s="4">
        <v>896700</v>
      </c>
      <c r="L630" s="4">
        <v>899800</v>
      </c>
      <c r="M630" s="4">
        <f>Tabla1[[#This Row],[BASE DEL DIA]]+Tabla1[[#This Row],[ENTREGAS]]+Tabla1[[#This Row],[TARJETAS]]+Tabla1[[#This Row],[NEQUI O QR]]+Tabla1[[#This Row],[VENTAS FE.CREDITO]]-Tabla1[[#This Row],[VENTAS NETAS]]-Tabla1[[#This Row],[BASE ANTERIOR]]</f>
        <v>-9110</v>
      </c>
    </row>
    <row r="631" spans="1:13" ht="13.5" customHeight="1" x14ac:dyDescent="0.2">
      <c r="A631" s="1">
        <v>6061</v>
      </c>
      <c r="B631" s="2">
        <v>45558</v>
      </c>
      <c r="C631" s="3" t="s">
        <v>40</v>
      </c>
      <c r="D631" s="1" t="s">
        <v>98</v>
      </c>
      <c r="E631" s="1" t="s">
        <v>23</v>
      </c>
      <c r="F631" s="4">
        <v>3872700</v>
      </c>
      <c r="G631" s="4">
        <v>3769500</v>
      </c>
      <c r="H631" s="4">
        <v>58300</v>
      </c>
      <c r="I631" s="4">
        <v>11700</v>
      </c>
      <c r="J631" s="4">
        <v>12500</v>
      </c>
      <c r="K631" s="4">
        <v>899800</v>
      </c>
      <c r="L631" s="4">
        <v>875200</v>
      </c>
      <c r="M631" s="4">
        <f>Tabla1[[#This Row],[BASE DEL DIA]]+Tabla1[[#This Row],[ENTREGAS]]+Tabla1[[#This Row],[TARJETAS]]+Tabla1[[#This Row],[NEQUI O QR]]+Tabla1[[#This Row],[VENTAS FE.CREDITO]]-Tabla1[[#This Row],[VENTAS NETAS]]-Tabla1[[#This Row],[BASE ANTERIOR]]</f>
        <v>3900</v>
      </c>
    </row>
    <row r="632" spans="1:13" ht="13.5" customHeight="1" x14ac:dyDescent="0.2">
      <c r="A632" s="1">
        <v>6060</v>
      </c>
      <c r="B632" s="2">
        <v>45558</v>
      </c>
      <c r="C632" s="3" t="s">
        <v>138</v>
      </c>
      <c r="D632" s="1" t="s">
        <v>16</v>
      </c>
      <c r="E632" s="1" t="s">
        <v>22</v>
      </c>
      <c r="F632" s="4">
        <v>1379200</v>
      </c>
      <c r="G632" s="4">
        <v>1310000</v>
      </c>
      <c r="H632" s="4">
        <v>81300</v>
      </c>
      <c r="I632" s="4">
        <v>0</v>
      </c>
      <c r="J632" s="4">
        <v>16400</v>
      </c>
      <c r="K632" s="4">
        <v>875200</v>
      </c>
      <c r="L632" s="4">
        <v>909250</v>
      </c>
      <c r="M632" s="4">
        <f>Tabla1[[#This Row],[BASE DEL DIA]]+Tabla1[[#This Row],[ENTREGAS]]+Tabla1[[#This Row],[TARJETAS]]+Tabla1[[#This Row],[NEQUI O QR]]+Tabla1[[#This Row],[VENTAS FE.CREDITO]]-Tabla1[[#This Row],[VENTAS NETAS]]-Tabla1[[#This Row],[BASE ANTERIOR]]</f>
        <v>-5550</v>
      </c>
    </row>
    <row r="633" spans="1:13" ht="13.5" customHeight="1" x14ac:dyDescent="0.2">
      <c r="A633" s="1">
        <v>6069</v>
      </c>
      <c r="B633" s="2">
        <v>45557</v>
      </c>
      <c r="C633" s="3" t="s">
        <v>107</v>
      </c>
      <c r="D633" s="1" t="s">
        <v>133</v>
      </c>
      <c r="E633" s="1" t="s">
        <v>24</v>
      </c>
      <c r="F633" s="4">
        <v>7597800</v>
      </c>
      <c r="G633" s="4">
        <v>7079200</v>
      </c>
      <c r="H633" s="4">
        <v>160600</v>
      </c>
      <c r="I633" s="4">
        <v>217301</v>
      </c>
      <c r="J633" s="4">
        <v>67200</v>
      </c>
      <c r="K633" s="4">
        <v>909250</v>
      </c>
      <c r="L633" s="4">
        <v>827050</v>
      </c>
      <c r="M633" s="4">
        <f>Tabla1[[#This Row],[BASE DEL DIA]]+Tabla1[[#This Row],[ENTREGAS]]+Tabla1[[#This Row],[TARJETAS]]+Tabla1[[#This Row],[NEQUI O QR]]+Tabla1[[#This Row],[VENTAS FE.CREDITO]]-Tabla1[[#This Row],[VENTAS NETAS]]-Tabla1[[#This Row],[BASE ANTERIOR]]</f>
        <v>8701</v>
      </c>
    </row>
    <row r="634" spans="1:13" ht="13.5" customHeight="1" x14ac:dyDescent="0.2">
      <c r="A634" s="1">
        <v>6058</v>
      </c>
      <c r="B634" s="2">
        <v>45556</v>
      </c>
      <c r="C634" s="3" t="s">
        <v>107</v>
      </c>
      <c r="D634" s="1" t="s">
        <v>17</v>
      </c>
      <c r="E634" s="1" t="s">
        <v>23</v>
      </c>
      <c r="F634" s="4">
        <v>3507000</v>
      </c>
      <c r="G634" s="4">
        <v>3303050</v>
      </c>
      <c r="H634" s="4">
        <v>174300</v>
      </c>
      <c r="I634" s="4">
        <v>24800</v>
      </c>
      <c r="J634" s="4">
        <v>20000</v>
      </c>
      <c r="K634" s="4">
        <v>827050</v>
      </c>
      <c r="L634" s="4">
        <v>839850</v>
      </c>
      <c r="M634" s="4">
        <f>Tabla1[[#This Row],[BASE DEL DIA]]+Tabla1[[#This Row],[ENTREGAS]]+Tabla1[[#This Row],[TARJETAS]]+Tabla1[[#This Row],[NEQUI O QR]]+Tabla1[[#This Row],[VENTAS FE.CREDITO]]-Tabla1[[#This Row],[VENTAS NETAS]]-Tabla1[[#This Row],[BASE ANTERIOR]]</f>
        <v>2350</v>
      </c>
    </row>
    <row r="635" spans="1:13" ht="13.5" customHeight="1" x14ac:dyDescent="0.2">
      <c r="A635" s="1">
        <v>6057</v>
      </c>
      <c r="B635" s="2">
        <v>45556</v>
      </c>
      <c r="C635" s="3" t="s">
        <v>97</v>
      </c>
      <c r="D635" s="1" t="s">
        <v>98</v>
      </c>
      <c r="E635" s="1" t="s">
        <v>22</v>
      </c>
      <c r="F635" s="4">
        <v>3131900</v>
      </c>
      <c r="G635" s="4">
        <v>3094000</v>
      </c>
      <c r="H635" s="4">
        <v>179800</v>
      </c>
      <c r="I635" s="4">
        <v>19300</v>
      </c>
      <c r="J635" s="4">
        <v>0</v>
      </c>
      <c r="K635" s="4">
        <v>839850</v>
      </c>
      <c r="L635" s="4">
        <v>996600</v>
      </c>
      <c r="M635" s="4">
        <f>Tabla1[[#This Row],[BASE DEL DIA]]+Tabla1[[#This Row],[ENTREGAS]]+Tabla1[[#This Row],[TARJETAS]]+Tabla1[[#This Row],[NEQUI O QR]]+Tabla1[[#This Row],[VENTAS FE.CREDITO]]-Tabla1[[#This Row],[VENTAS NETAS]]-Tabla1[[#This Row],[BASE ANTERIOR]]</f>
        <v>4450</v>
      </c>
    </row>
    <row r="636" spans="1:13" ht="13.5" customHeight="1" x14ac:dyDescent="0.2">
      <c r="A636" s="1">
        <v>6056</v>
      </c>
      <c r="B636" s="2">
        <v>45555</v>
      </c>
      <c r="C636" s="3" t="s">
        <v>106</v>
      </c>
      <c r="D636" s="1" t="s">
        <v>98</v>
      </c>
      <c r="E636" s="1" t="s">
        <v>23</v>
      </c>
      <c r="F636" s="4">
        <v>3407000</v>
      </c>
      <c r="G636" s="4">
        <v>3080000</v>
      </c>
      <c r="H636" s="4">
        <v>215900</v>
      </c>
      <c r="I636" s="4">
        <v>28900</v>
      </c>
      <c r="J636" s="4">
        <v>21600</v>
      </c>
      <c r="K636" s="4">
        <v>996600</v>
      </c>
      <c r="L636" s="4">
        <v>932500</v>
      </c>
      <c r="M636" s="4">
        <f>Tabla1[[#This Row],[BASE DEL DIA]]+Tabla1[[#This Row],[ENTREGAS]]+Tabla1[[#This Row],[TARJETAS]]+Tabla1[[#This Row],[NEQUI O QR]]+Tabla1[[#This Row],[VENTAS FE.CREDITO]]-Tabla1[[#This Row],[VENTAS NETAS]]-Tabla1[[#This Row],[BASE ANTERIOR]]</f>
        <v>3500</v>
      </c>
    </row>
    <row r="637" spans="1:13" ht="13.5" customHeight="1" x14ac:dyDescent="0.2">
      <c r="A637" s="1">
        <v>6055</v>
      </c>
      <c r="B637" s="2">
        <v>45555</v>
      </c>
      <c r="C637" s="3" t="s">
        <v>53</v>
      </c>
      <c r="D637" s="1" t="s">
        <v>17</v>
      </c>
      <c r="E637" s="1" t="s">
        <v>22</v>
      </c>
      <c r="F637" s="4">
        <v>2603500</v>
      </c>
      <c r="G637" s="4">
        <v>2517000</v>
      </c>
      <c r="H637" s="4">
        <v>63700</v>
      </c>
      <c r="I637" s="4">
        <v>32700</v>
      </c>
      <c r="J637" s="4">
        <v>0</v>
      </c>
      <c r="K637" s="4">
        <v>932500</v>
      </c>
      <c r="L637" s="4">
        <v>944800</v>
      </c>
      <c r="M637" s="4">
        <f>Tabla1[[#This Row],[BASE DEL DIA]]+Tabla1[[#This Row],[ENTREGAS]]+Tabla1[[#This Row],[TARJETAS]]+Tabla1[[#This Row],[NEQUI O QR]]+Tabla1[[#This Row],[VENTAS FE.CREDITO]]-Tabla1[[#This Row],[VENTAS NETAS]]-Tabla1[[#This Row],[BASE ANTERIOR]]</f>
        <v>-2400</v>
      </c>
    </row>
    <row r="638" spans="1:13" ht="13.5" customHeight="1" x14ac:dyDescent="0.2">
      <c r="A638" s="1">
        <v>6054</v>
      </c>
      <c r="B638" s="2">
        <v>45554</v>
      </c>
      <c r="C638" s="3" t="s">
        <v>40</v>
      </c>
      <c r="D638" s="1" t="s">
        <v>17</v>
      </c>
      <c r="E638" s="1" t="s">
        <v>23</v>
      </c>
      <c r="F638" s="4">
        <v>4007900</v>
      </c>
      <c r="G638" s="4">
        <v>3138800</v>
      </c>
      <c r="H638" s="4">
        <v>413300</v>
      </c>
      <c r="I638" s="4">
        <v>430600</v>
      </c>
      <c r="J638" s="4">
        <v>8800</v>
      </c>
      <c r="K638" s="4">
        <v>944800</v>
      </c>
      <c r="L638" s="4">
        <v>928450</v>
      </c>
      <c r="M638" s="4">
        <f>Tabla1[[#This Row],[BASE DEL DIA]]+Tabla1[[#This Row],[ENTREGAS]]+Tabla1[[#This Row],[TARJETAS]]+Tabla1[[#This Row],[NEQUI O QR]]+Tabla1[[#This Row],[VENTAS FE.CREDITO]]-Tabla1[[#This Row],[VENTAS NETAS]]-Tabla1[[#This Row],[BASE ANTERIOR]]</f>
        <v>-50</v>
      </c>
    </row>
    <row r="639" spans="1:13" ht="13.5" customHeight="1" x14ac:dyDescent="0.2">
      <c r="A639" s="1">
        <v>6053</v>
      </c>
      <c r="B639" s="2">
        <v>45554</v>
      </c>
      <c r="C639" s="3" t="s">
        <v>140</v>
      </c>
      <c r="D639" s="1" t="s">
        <v>98</v>
      </c>
      <c r="E639" s="1" t="s">
        <v>22</v>
      </c>
      <c r="F639" s="4">
        <v>1903600</v>
      </c>
      <c r="G639" s="4">
        <v>1922000</v>
      </c>
      <c r="H639" s="4">
        <v>58700</v>
      </c>
      <c r="I639" s="4">
        <v>12000</v>
      </c>
      <c r="J639" s="4">
        <v>0</v>
      </c>
      <c r="K639" s="4">
        <v>928450</v>
      </c>
      <c r="L639" s="4">
        <v>1013400</v>
      </c>
      <c r="M639" s="4">
        <f>Tabla1[[#This Row],[BASE DEL DIA]]+Tabla1[[#This Row],[ENTREGAS]]+Tabla1[[#This Row],[TARJETAS]]+Tabla1[[#This Row],[NEQUI O QR]]+Tabla1[[#This Row],[VENTAS FE.CREDITO]]-Tabla1[[#This Row],[VENTAS NETAS]]-Tabla1[[#This Row],[BASE ANTERIOR]]</f>
        <v>4150</v>
      </c>
    </row>
    <row r="640" spans="1:13" ht="13.5" customHeight="1" x14ac:dyDescent="0.2">
      <c r="A640" s="1">
        <v>6052</v>
      </c>
      <c r="B640" s="2">
        <v>45553</v>
      </c>
      <c r="C640" s="3" t="s">
        <v>85</v>
      </c>
      <c r="D640" s="1" t="s">
        <v>98</v>
      </c>
      <c r="E640" s="1" t="s">
        <v>23</v>
      </c>
      <c r="F640" s="4">
        <v>3567900</v>
      </c>
      <c r="G640" s="4">
        <v>3212000</v>
      </c>
      <c r="H640" s="4">
        <v>246800</v>
      </c>
      <c r="I640" s="4">
        <v>0</v>
      </c>
      <c r="J640" s="4">
        <v>28300</v>
      </c>
      <c r="K640" s="4">
        <v>1013400</v>
      </c>
      <c r="L640" s="4">
        <v>932650</v>
      </c>
      <c r="M640" s="4">
        <f>Tabla1[[#This Row],[BASE DEL DIA]]+Tabla1[[#This Row],[ENTREGAS]]+Tabla1[[#This Row],[TARJETAS]]+Tabla1[[#This Row],[NEQUI O QR]]+Tabla1[[#This Row],[VENTAS FE.CREDITO]]-Tabla1[[#This Row],[VENTAS NETAS]]-Tabla1[[#This Row],[BASE ANTERIOR]]</f>
        <v>-50</v>
      </c>
    </row>
    <row r="641" spans="1:13" ht="13.5" customHeight="1" x14ac:dyDescent="0.2">
      <c r="A641" s="1">
        <v>6051</v>
      </c>
      <c r="B641" s="2">
        <v>45553</v>
      </c>
      <c r="C641" s="3" t="s">
        <v>155</v>
      </c>
      <c r="D641" s="1" t="s">
        <v>17</v>
      </c>
      <c r="E641" s="1" t="s">
        <v>22</v>
      </c>
      <c r="F641" s="4">
        <v>2457900</v>
      </c>
      <c r="G641" s="4">
        <v>2312050</v>
      </c>
      <c r="H641" s="4">
        <v>62800</v>
      </c>
      <c r="I641" s="4">
        <v>0</v>
      </c>
      <c r="J641" s="4">
        <v>26600</v>
      </c>
      <c r="K641" s="4">
        <v>932650</v>
      </c>
      <c r="L641" s="4">
        <v>863550</v>
      </c>
      <c r="M641" s="4">
        <f>Tabla1[[#This Row],[BASE DEL DIA]]+Tabla1[[#This Row],[ENTREGAS]]+Tabla1[[#This Row],[TARJETAS]]+Tabla1[[#This Row],[NEQUI O QR]]+Tabla1[[#This Row],[VENTAS FE.CREDITO]]-Tabla1[[#This Row],[VENTAS NETAS]]-Tabla1[[#This Row],[BASE ANTERIOR]]</f>
        <v>12650</v>
      </c>
    </row>
    <row r="642" spans="1:13" ht="13.5" customHeight="1" x14ac:dyDescent="0.2">
      <c r="A642" s="1">
        <v>6050</v>
      </c>
      <c r="B642" s="2">
        <v>45552</v>
      </c>
      <c r="C642" s="3" t="s">
        <v>72</v>
      </c>
      <c r="D642" s="1" t="s">
        <v>17</v>
      </c>
      <c r="E642" s="1" t="s">
        <v>23</v>
      </c>
      <c r="F642" s="4">
        <v>5528200</v>
      </c>
      <c r="G642" s="4">
        <v>4758500</v>
      </c>
      <c r="H642" s="4">
        <v>691300</v>
      </c>
      <c r="I642" s="4">
        <v>0</v>
      </c>
      <c r="J642" s="4">
        <v>81500</v>
      </c>
      <c r="K642" s="4">
        <v>863550</v>
      </c>
      <c r="L642" s="4">
        <v>864900</v>
      </c>
      <c r="M642" s="4">
        <f>Tabla1[[#This Row],[BASE DEL DIA]]+Tabla1[[#This Row],[ENTREGAS]]+Tabla1[[#This Row],[TARJETAS]]+Tabla1[[#This Row],[NEQUI O QR]]+Tabla1[[#This Row],[VENTAS FE.CREDITO]]-Tabla1[[#This Row],[VENTAS NETAS]]-Tabla1[[#This Row],[BASE ANTERIOR]]</f>
        <v>1750</v>
      </c>
    </row>
    <row r="643" spans="1:13" ht="13.5" customHeight="1" x14ac:dyDescent="0.2">
      <c r="A643" s="1">
        <v>6049</v>
      </c>
      <c r="B643" s="2">
        <v>45552</v>
      </c>
      <c r="C643" s="3" t="s">
        <v>151</v>
      </c>
      <c r="D643" s="1" t="s">
        <v>98</v>
      </c>
      <c r="E643" s="1" t="s">
        <v>22</v>
      </c>
      <c r="F643" s="4">
        <v>2667100</v>
      </c>
      <c r="G643" s="4">
        <v>2495450</v>
      </c>
      <c r="H643" s="4">
        <v>196600</v>
      </c>
      <c r="I643" s="4">
        <v>0</v>
      </c>
      <c r="J643" s="4">
        <v>31700</v>
      </c>
      <c r="K643" s="4">
        <v>864900</v>
      </c>
      <c r="L643" s="4">
        <v>910050</v>
      </c>
      <c r="M643" s="4">
        <f>Tabla1[[#This Row],[BASE DEL DIA]]+Tabla1[[#This Row],[ENTREGAS]]+Tabla1[[#This Row],[TARJETAS]]+Tabla1[[#This Row],[NEQUI O QR]]+Tabla1[[#This Row],[VENTAS FE.CREDITO]]-Tabla1[[#This Row],[VENTAS NETAS]]-Tabla1[[#This Row],[BASE ANTERIOR]]</f>
        <v>11500</v>
      </c>
    </row>
    <row r="644" spans="1:13" ht="13.5" customHeight="1" x14ac:dyDescent="0.2">
      <c r="A644" s="1">
        <v>6048</v>
      </c>
      <c r="B644" s="2">
        <v>45551</v>
      </c>
      <c r="C644" s="3" t="s">
        <v>73</v>
      </c>
      <c r="D644" s="1" t="s">
        <v>98</v>
      </c>
      <c r="E644" s="1" t="s">
        <v>22</v>
      </c>
      <c r="F644" s="4">
        <v>5250900</v>
      </c>
      <c r="G644" s="4">
        <v>4350000</v>
      </c>
      <c r="H644" s="4">
        <v>631300</v>
      </c>
      <c r="I644" s="4">
        <v>132300</v>
      </c>
      <c r="J644" s="4">
        <v>44600</v>
      </c>
      <c r="K644" s="4">
        <v>910050</v>
      </c>
      <c r="L644" s="4">
        <v>818400</v>
      </c>
      <c r="M644" s="4">
        <f>Tabla1[[#This Row],[BASE DEL DIA]]+Tabla1[[#This Row],[ENTREGAS]]+Tabla1[[#This Row],[TARJETAS]]+Tabla1[[#This Row],[NEQUI O QR]]+Tabla1[[#This Row],[VENTAS FE.CREDITO]]-Tabla1[[#This Row],[VENTAS NETAS]]-Tabla1[[#This Row],[BASE ANTERIOR]]</f>
        <v>-1050</v>
      </c>
    </row>
    <row r="645" spans="1:13" ht="13.5" customHeight="1" x14ac:dyDescent="0.2">
      <c r="A645" s="1">
        <v>6047</v>
      </c>
      <c r="B645" s="2">
        <v>45551</v>
      </c>
      <c r="C645" s="3" t="s">
        <v>76</v>
      </c>
      <c r="D645" s="1" t="s">
        <v>17</v>
      </c>
      <c r="E645" s="1" t="s">
        <v>22</v>
      </c>
      <c r="F645" s="4">
        <v>3056200</v>
      </c>
      <c r="G645" s="4">
        <v>3000000</v>
      </c>
      <c r="H645" s="4">
        <v>93200</v>
      </c>
      <c r="I645" s="4">
        <v>36000</v>
      </c>
      <c r="J645" s="4">
        <v>0</v>
      </c>
      <c r="K645" s="4">
        <v>818400</v>
      </c>
      <c r="L645" s="4">
        <v>890400</v>
      </c>
      <c r="M645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</v>
      </c>
    </row>
    <row r="646" spans="1:13" ht="13.5" customHeight="1" x14ac:dyDescent="0.2">
      <c r="A646" s="1">
        <v>6046</v>
      </c>
      <c r="B646" s="2">
        <v>45550</v>
      </c>
      <c r="C646" s="3" t="s">
        <v>156</v>
      </c>
      <c r="D646" s="1" t="s">
        <v>19</v>
      </c>
      <c r="E646" s="1" t="s">
        <v>24</v>
      </c>
      <c r="F646" s="4">
        <v>9028800</v>
      </c>
      <c r="G646" s="4">
        <v>8568000</v>
      </c>
      <c r="H646" s="4">
        <v>315000</v>
      </c>
      <c r="I646" s="4">
        <v>130700</v>
      </c>
      <c r="J646" s="4">
        <v>1500</v>
      </c>
      <c r="K646" s="4">
        <v>890400</v>
      </c>
      <c r="L646" s="4">
        <v>874250</v>
      </c>
      <c r="M646" s="4">
        <f>Tabla1[[#This Row],[BASE DEL DIA]]+Tabla1[[#This Row],[ENTREGAS]]+Tabla1[[#This Row],[TARJETAS]]+Tabla1[[#This Row],[NEQUI O QR]]+Tabla1[[#This Row],[VENTAS FE.CREDITO]]-Tabla1[[#This Row],[VENTAS NETAS]]-Tabla1[[#This Row],[BASE ANTERIOR]]</f>
        <v>2550</v>
      </c>
    </row>
    <row r="647" spans="1:13" ht="13.5" customHeight="1" x14ac:dyDescent="0.2">
      <c r="A647" s="1">
        <v>6045</v>
      </c>
      <c r="B647" s="2">
        <v>45549</v>
      </c>
      <c r="C647" s="3" t="s">
        <v>85</v>
      </c>
      <c r="D647" s="1" t="s">
        <v>16</v>
      </c>
      <c r="E647" s="1" t="s">
        <v>23</v>
      </c>
      <c r="F647" s="4">
        <v>6258000</v>
      </c>
      <c r="G647" s="4">
        <v>5408200</v>
      </c>
      <c r="H647" s="4">
        <v>1001200</v>
      </c>
      <c r="I647" s="4">
        <v>21700</v>
      </c>
      <c r="J647" s="4">
        <v>7800</v>
      </c>
      <c r="K647" s="4">
        <v>874250</v>
      </c>
      <c r="L647" s="4">
        <v>1053900</v>
      </c>
      <c r="M647" s="4">
        <f>Tabla1[[#This Row],[BASE DEL DIA]]+Tabla1[[#This Row],[ENTREGAS]]+Tabla1[[#This Row],[TARJETAS]]+Tabla1[[#This Row],[NEQUI O QR]]+Tabla1[[#This Row],[VENTAS FE.CREDITO]]-Tabla1[[#This Row],[VENTAS NETAS]]-Tabla1[[#This Row],[BASE ANTERIOR]]</f>
        <v>1250</v>
      </c>
    </row>
    <row r="648" spans="1:13" ht="13.5" customHeight="1" x14ac:dyDescent="0.2">
      <c r="A648" s="1">
        <v>6044</v>
      </c>
      <c r="B648" s="2">
        <v>45549</v>
      </c>
      <c r="C648" s="3" t="s">
        <v>59</v>
      </c>
      <c r="D648" s="1" t="s">
        <v>18</v>
      </c>
      <c r="E648" s="1" t="s">
        <v>22</v>
      </c>
      <c r="F648" s="4">
        <v>3219270</v>
      </c>
      <c r="G648" s="4">
        <v>3103550</v>
      </c>
      <c r="H648" s="4">
        <v>36100</v>
      </c>
      <c r="I648" s="4">
        <v>10400</v>
      </c>
      <c r="J648" s="4">
        <v>2300</v>
      </c>
      <c r="K648" s="4">
        <v>1053900</v>
      </c>
      <c r="L648" s="4">
        <v>984350</v>
      </c>
      <c r="M648" s="4">
        <f>Tabla1[[#This Row],[BASE DEL DIA]]+Tabla1[[#This Row],[ENTREGAS]]+Tabla1[[#This Row],[TARJETAS]]+Tabla1[[#This Row],[NEQUI O QR]]+Tabla1[[#This Row],[VENTAS FE.CREDITO]]-Tabla1[[#This Row],[VENTAS NETAS]]-Tabla1[[#This Row],[BASE ANTERIOR]]</f>
        <v>2630</v>
      </c>
    </row>
    <row r="649" spans="1:13" ht="13.5" customHeight="1" x14ac:dyDescent="0.2">
      <c r="A649" s="1">
        <v>6043</v>
      </c>
      <c r="B649" s="2">
        <v>45548</v>
      </c>
      <c r="C649" s="3" t="s">
        <v>85</v>
      </c>
      <c r="D649" s="1" t="s">
        <v>18</v>
      </c>
      <c r="E649" s="1" t="s">
        <v>23</v>
      </c>
      <c r="F649" s="4">
        <v>3378620</v>
      </c>
      <c r="G649" s="4">
        <v>3037500</v>
      </c>
      <c r="H649" s="4">
        <v>259020</v>
      </c>
      <c r="I649" s="4">
        <v>45200</v>
      </c>
      <c r="J649" s="4">
        <v>2500</v>
      </c>
      <c r="K649" s="4">
        <v>984350</v>
      </c>
      <c r="L649" s="4">
        <v>940650</v>
      </c>
      <c r="M649" s="4">
        <f>Tabla1[[#This Row],[BASE DEL DIA]]+Tabla1[[#This Row],[ENTREGAS]]+Tabla1[[#This Row],[TARJETAS]]+Tabla1[[#This Row],[NEQUI O QR]]+Tabla1[[#This Row],[VENTAS FE.CREDITO]]-Tabla1[[#This Row],[VENTAS NETAS]]-Tabla1[[#This Row],[BASE ANTERIOR]]</f>
        <v>9300</v>
      </c>
    </row>
    <row r="650" spans="1:13" ht="13.5" customHeight="1" x14ac:dyDescent="0.2">
      <c r="A650" s="1">
        <v>6042</v>
      </c>
      <c r="B650" s="2">
        <v>45548</v>
      </c>
      <c r="C650" s="3" t="s">
        <v>121</v>
      </c>
      <c r="D650" s="1" t="s">
        <v>16</v>
      </c>
      <c r="E650" s="1" t="s">
        <v>22</v>
      </c>
      <c r="F650" s="4">
        <v>2739100</v>
      </c>
      <c r="G650" s="4">
        <v>2561300</v>
      </c>
      <c r="H650" s="4">
        <v>199000</v>
      </c>
      <c r="I650" s="4">
        <v>15100</v>
      </c>
      <c r="J650" s="4">
        <v>1500</v>
      </c>
      <c r="K650" s="4">
        <v>940650</v>
      </c>
      <c r="L650" s="4">
        <v>970700</v>
      </c>
      <c r="M650" s="4">
        <f>Tabla1[[#This Row],[BASE DEL DIA]]+Tabla1[[#This Row],[ENTREGAS]]+Tabla1[[#This Row],[TARJETAS]]+Tabla1[[#This Row],[NEQUI O QR]]+Tabla1[[#This Row],[VENTAS FE.CREDITO]]-Tabla1[[#This Row],[VENTAS NETAS]]-Tabla1[[#This Row],[BASE ANTERIOR]]</f>
        <v>7750</v>
      </c>
    </row>
    <row r="651" spans="1:13" ht="13.5" customHeight="1" x14ac:dyDescent="0.2">
      <c r="A651" s="1">
        <v>6041</v>
      </c>
      <c r="B651" s="2">
        <v>45547</v>
      </c>
      <c r="C651" s="3" t="s">
        <v>85</v>
      </c>
      <c r="D651" s="1" t="s">
        <v>16</v>
      </c>
      <c r="E651" s="1" t="s">
        <v>23</v>
      </c>
      <c r="F651" s="4">
        <v>2668260</v>
      </c>
      <c r="G651" s="4">
        <v>2580000</v>
      </c>
      <c r="H651" s="4">
        <v>75900</v>
      </c>
      <c r="I651" s="4">
        <v>24200</v>
      </c>
      <c r="J651" s="4">
        <v>14100</v>
      </c>
      <c r="K651" s="4">
        <v>970700</v>
      </c>
      <c r="L651" s="4">
        <v>1002700</v>
      </c>
      <c r="M651" s="4">
        <f>Tabla1[[#This Row],[BASE DEL DIA]]+Tabla1[[#This Row],[ENTREGAS]]+Tabla1[[#This Row],[TARJETAS]]+Tabla1[[#This Row],[NEQUI O QR]]+Tabla1[[#This Row],[VENTAS FE.CREDITO]]-Tabla1[[#This Row],[VENTAS NETAS]]-Tabla1[[#This Row],[BASE ANTERIOR]]</f>
        <v>-6060</v>
      </c>
    </row>
    <row r="652" spans="1:13" ht="13.5" customHeight="1" x14ac:dyDescent="0.2">
      <c r="A652" s="1">
        <v>6040</v>
      </c>
      <c r="B652" s="2">
        <v>45547</v>
      </c>
      <c r="C652" s="3" t="s">
        <v>134</v>
      </c>
      <c r="D652" s="1" t="s">
        <v>18</v>
      </c>
      <c r="E652" s="1" t="s">
        <v>22</v>
      </c>
      <c r="F652" s="4">
        <v>2362740</v>
      </c>
      <c r="G652" s="4">
        <v>2269500</v>
      </c>
      <c r="H652" s="4">
        <v>144800</v>
      </c>
      <c r="I652" s="4">
        <v>0</v>
      </c>
      <c r="K652" s="4">
        <v>1002700</v>
      </c>
      <c r="L652" s="4">
        <v>1042650</v>
      </c>
      <c r="M652" s="4">
        <f>Tabla1[[#This Row],[BASE DEL DIA]]+Tabla1[[#This Row],[ENTREGAS]]+Tabla1[[#This Row],[TARJETAS]]+Tabla1[[#This Row],[NEQUI O QR]]+Tabla1[[#This Row],[VENTAS FE.CREDITO]]-Tabla1[[#This Row],[VENTAS NETAS]]-Tabla1[[#This Row],[BASE ANTERIOR]]</f>
        <v>11610</v>
      </c>
    </row>
    <row r="653" spans="1:13" ht="13.5" customHeight="1" x14ac:dyDescent="0.2">
      <c r="A653" s="1">
        <v>6039</v>
      </c>
      <c r="B653" s="2">
        <v>45546</v>
      </c>
      <c r="C653" s="3" t="s">
        <v>130</v>
      </c>
      <c r="D653" s="1" t="s">
        <v>18</v>
      </c>
      <c r="E653" s="1" t="s">
        <v>23</v>
      </c>
      <c r="F653" s="4">
        <v>2855920</v>
      </c>
      <c r="G653" s="4">
        <v>2746800</v>
      </c>
      <c r="H653" s="4">
        <v>39300</v>
      </c>
      <c r="I653" s="4">
        <v>40900</v>
      </c>
      <c r="J653" s="4">
        <v>4300</v>
      </c>
      <c r="K653" s="4">
        <v>1042650</v>
      </c>
      <c r="L653" s="4">
        <v>1016150</v>
      </c>
      <c r="M653" s="4">
        <f>Tabla1[[#This Row],[BASE DEL DIA]]+Tabla1[[#This Row],[ENTREGAS]]+Tabla1[[#This Row],[TARJETAS]]+Tabla1[[#This Row],[NEQUI O QR]]+Tabla1[[#This Row],[VENTAS FE.CREDITO]]-Tabla1[[#This Row],[VENTAS NETAS]]-Tabla1[[#This Row],[BASE ANTERIOR]]</f>
        <v>1880</v>
      </c>
    </row>
    <row r="654" spans="1:13" ht="13.5" customHeight="1" x14ac:dyDescent="0.2">
      <c r="A654" s="1">
        <v>6038</v>
      </c>
      <c r="B654" s="2">
        <v>45546</v>
      </c>
      <c r="C654" s="3" t="s">
        <v>155</v>
      </c>
      <c r="D654" s="1" t="s">
        <v>16</v>
      </c>
      <c r="E654" s="1" t="s">
        <v>22</v>
      </c>
      <c r="F654" s="4">
        <v>2314700</v>
      </c>
      <c r="G654" s="4">
        <v>2234550</v>
      </c>
      <c r="H654" s="4">
        <v>18100</v>
      </c>
      <c r="I654" s="4">
        <v>0</v>
      </c>
      <c r="J654" s="4">
        <v>4200</v>
      </c>
      <c r="K654" s="4">
        <v>1016150</v>
      </c>
      <c r="L654" s="4">
        <v>956650</v>
      </c>
      <c r="M654" s="4">
        <f>Tabla1[[#This Row],[BASE DEL DIA]]+Tabla1[[#This Row],[ENTREGAS]]+Tabla1[[#This Row],[TARJETAS]]+Tabla1[[#This Row],[NEQUI O QR]]+Tabla1[[#This Row],[VENTAS FE.CREDITO]]-Tabla1[[#This Row],[VENTAS NETAS]]-Tabla1[[#This Row],[BASE ANTERIOR]]</f>
        <v>1650</v>
      </c>
    </row>
    <row r="655" spans="1:13" ht="13.5" customHeight="1" x14ac:dyDescent="0.2">
      <c r="A655" s="1">
        <v>6037</v>
      </c>
      <c r="B655" s="2">
        <v>45545</v>
      </c>
      <c r="C655" s="3" t="s">
        <v>154</v>
      </c>
      <c r="D655" s="1" t="s">
        <v>16</v>
      </c>
      <c r="E655" s="1" t="s">
        <v>23</v>
      </c>
      <c r="F655" s="4">
        <v>3213300</v>
      </c>
      <c r="G655" s="4">
        <v>2834100</v>
      </c>
      <c r="H655" s="4">
        <v>257800</v>
      </c>
      <c r="I655" s="4">
        <v>0</v>
      </c>
      <c r="J655" s="4">
        <v>7500</v>
      </c>
      <c r="K655" s="4">
        <v>956650</v>
      </c>
      <c r="L655" s="4">
        <v>836850</v>
      </c>
      <c r="M655" s="4">
        <f>Tabla1[[#This Row],[BASE DEL DIA]]+Tabla1[[#This Row],[ENTREGAS]]+Tabla1[[#This Row],[TARJETAS]]+Tabla1[[#This Row],[NEQUI O QR]]+Tabla1[[#This Row],[VENTAS FE.CREDITO]]-Tabla1[[#This Row],[VENTAS NETAS]]-Tabla1[[#This Row],[BASE ANTERIOR]]</f>
        <v>5900</v>
      </c>
    </row>
    <row r="656" spans="1:13" ht="13.5" customHeight="1" x14ac:dyDescent="0.2">
      <c r="A656" s="1">
        <v>6036</v>
      </c>
      <c r="B656" s="2">
        <v>45545</v>
      </c>
      <c r="C656" s="3" t="s">
        <v>153</v>
      </c>
      <c r="D656" s="1" t="s">
        <v>19</v>
      </c>
      <c r="E656" s="1" t="s">
        <v>22</v>
      </c>
      <c r="F656" s="4">
        <v>2158800</v>
      </c>
      <c r="G656" s="4">
        <v>1965000</v>
      </c>
      <c r="H656" s="4">
        <v>219600</v>
      </c>
      <c r="I656" s="4">
        <v>0</v>
      </c>
      <c r="J656" s="4">
        <v>1800</v>
      </c>
      <c r="K656" s="4">
        <v>836850</v>
      </c>
      <c r="L656" s="4">
        <v>910800</v>
      </c>
      <c r="M656" s="4">
        <f>Tabla1[[#This Row],[BASE DEL DIA]]+Tabla1[[#This Row],[ENTREGAS]]+Tabla1[[#This Row],[TARJETAS]]+Tabla1[[#This Row],[NEQUI O QR]]+Tabla1[[#This Row],[VENTAS FE.CREDITO]]-Tabla1[[#This Row],[VENTAS NETAS]]-Tabla1[[#This Row],[BASE ANTERIOR]]</f>
        <v>-46350</v>
      </c>
    </row>
    <row r="657" spans="1:13" ht="13.5" customHeight="1" x14ac:dyDescent="0.2">
      <c r="A657" s="1">
        <v>6035</v>
      </c>
      <c r="B657" s="2">
        <v>45544</v>
      </c>
      <c r="C657" s="3" t="s">
        <v>66</v>
      </c>
      <c r="D657" s="1" t="s">
        <v>18</v>
      </c>
      <c r="E657" s="1" t="s">
        <v>23</v>
      </c>
      <c r="F657" s="4">
        <v>3731760</v>
      </c>
      <c r="G657" s="4">
        <v>3584000</v>
      </c>
      <c r="H657" s="4">
        <v>166960</v>
      </c>
      <c r="I657" s="4">
        <v>12200</v>
      </c>
      <c r="J657" s="4">
        <v>5000</v>
      </c>
      <c r="K657" s="4">
        <v>910800</v>
      </c>
      <c r="L657" s="4">
        <v>945350</v>
      </c>
      <c r="M657" s="4">
        <f>Tabla1[[#This Row],[BASE DEL DIA]]+Tabla1[[#This Row],[ENTREGAS]]+Tabla1[[#This Row],[TARJETAS]]+Tabla1[[#This Row],[NEQUI O QR]]+Tabla1[[#This Row],[VENTAS FE.CREDITO]]-Tabla1[[#This Row],[VENTAS NETAS]]-Tabla1[[#This Row],[BASE ANTERIOR]]</f>
        <v>1850</v>
      </c>
    </row>
    <row r="658" spans="1:13" ht="13.5" customHeight="1" x14ac:dyDescent="0.2">
      <c r="A658" s="1">
        <v>6034</v>
      </c>
      <c r="B658" s="2">
        <v>45544</v>
      </c>
      <c r="C658" s="3" t="s">
        <v>152</v>
      </c>
      <c r="D658" s="1" t="s">
        <v>16</v>
      </c>
      <c r="E658" s="1" t="s">
        <v>22</v>
      </c>
      <c r="F658" s="4">
        <v>2943000</v>
      </c>
      <c r="G658" s="4">
        <v>2930550</v>
      </c>
      <c r="H658" s="4">
        <v>55900</v>
      </c>
      <c r="I658" s="4">
        <v>31400</v>
      </c>
      <c r="J658" s="4">
        <v>11800</v>
      </c>
      <c r="K658" s="4">
        <v>945350</v>
      </c>
      <c r="L658" s="4">
        <v>1035050</v>
      </c>
      <c r="M658" s="4">
        <f>Tabla1[[#This Row],[BASE DEL DIA]]+Tabla1[[#This Row],[ENTREGAS]]+Tabla1[[#This Row],[TARJETAS]]+Tabla1[[#This Row],[NEQUI O QR]]+Tabla1[[#This Row],[VENTAS FE.CREDITO]]-Tabla1[[#This Row],[VENTAS NETAS]]-Tabla1[[#This Row],[BASE ANTERIOR]]</f>
        <v>-3050</v>
      </c>
    </row>
    <row r="659" spans="1:13" ht="13.5" customHeight="1" x14ac:dyDescent="0.2">
      <c r="A659" s="1">
        <v>6033</v>
      </c>
      <c r="B659" s="2">
        <v>45543</v>
      </c>
      <c r="C659" s="3" t="s">
        <v>105</v>
      </c>
      <c r="D659" s="1" t="s">
        <v>98</v>
      </c>
      <c r="E659" s="1" t="s">
        <v>23</v>
      </c>
      <c r="F659" s="4">
        <v>3632100</v>
      </c>
      <c r="G659" s="4">
        <v>3007500</v>
      </c>
      <c r="H659" s="4">
        <v>468300</v>
      </c>
      <c r="I659" s="4">
        <v>0</v>
      </c>
      <c r="J659" s="4">
        <v>19200</v>
      </c>
      <c r="K659" s="4">
        <v>1035050</v>
      </c>
      <c r="L659" s="4">
        <v>890350</v>
      </c>
      <c r="M659" s="4">
        <f>Tabla1[[#This Row],[BASE DEL DIA]]+Tabla1[[#This Row],[ENTREGAS]]+Tabla1[[#This Row],[TARJETAS]]+Tabla1[[#This Row],[NEQUI O QR]]+Tabla1[[#This Row],[VENTAS FE.CREDITO]]-Tabla1[[#This Row],[VENTAS NETAS]]-Tabla1[[#This Row],[BASE ANTERIOR]]</f>
        <v>7600</v>
      </c>
    </row>
    <row r="660" spans="1:13" ht="13.5" customHeight="1" x14ac:dyDescent="0.2">
      <c r="A660" s="1">
        <v>6032</v>
      </c>
      <c r="B660" s="2">
        <v>45543</v>
      </c>
      <c r="C660" s="3" t="s">
        <v>134</v>
      </c>
      <c r="D660" s="1" t="s">
        <v>133</v>
      </c>
      <c r="E660" s="1" t="s">
        <v>22</v>
      </c>
      <c r="F660" s="4">
        <v>3786400</v>
      </c>
      <c r="G660" s="4">
        <v>3488300</v>
      </c>
      <c r="H660" s="4">
        <v>155400</v>
      </c>
      <c r="I660" s="4">
        <v>166200</v>
      </c>
      <c r="J660" s="4">
        <v>22800</v>
      </c>
      <c r="K660" s="4">
        <v>890350</v>
      </c>
      <c r="L660" s="4">
        <v>938550</v>
      </c>
      <c r="M660" s="4">
        <f>Tabla1[[#This Row],[BASE DEL DIA]]+Tabla1[[#This Row],[ENTREGAS]]+Tabla1[[#This Row],[TARJETAS]]+Tabla1[[#This Row],[NEQUI O QR]]+Tabla1[[#This Row],[VENTAS FE.CREDITO]]-Tabla1[[#This Row],[VENTAS NETAS]]-Tabla1[[#This Row],[BASE ANTERIOR]]</f>
        <v>-1900</v>
      </c>
    </row>
    <row r="661" spans="1:13" ht="13.5" customHeight="1" x14ac:dyDescent="0.2">
      <c r="A661" s="1">
        <v>6031</v>
      </c>
      <c r="B661" s="2">
        <v>45542</v>
      </c>
      <c r="C661" s="3" t="s">
        <v>66</v>
      </c>
      <c r="D661" s="1" t="s">
        <v>17</v>
      </c>
      <c r="E661" s="1" t="s">
        <v>23</v>
      </c>
      <c r="F661" s="4">
        <v>3855700</v>
      </c>
      <c r="G661" s="4">
        <v>3577300</v>
      </c>
      <c r="H661" s="4">
        <v>156500</v>
      </c>
      <c r="I661" s="4">
        <v>48800</v>
      </c>
      <c r="J661" s="4">
        <v>17200</v>
      </c>
      <c r="K661" s="4">
        <v>938550</v>
      </c>
      <c r="L661" s="4">
        <v>882300</v>
      </c>
      <c r="M661" s="4">
        <f>Tabla1[[#This Row],[BASE DEL DIA]]+Tabla1[[#This Row],[ENTREGAS]]+Tabla1[[#This Row],[TARJETAS]]+Tabla1[[#This Row],[NEQUI O QR]]+Tabla1[[#This Row],[VENTAS FE.CREDITO]]-Tabla1[[#This Row],[VENTAS NETAS]]-Tabla1[[#This Row],[BASE ANTERIOR]]</f>
        <v>350</v>
      </c>
    </row>
    <row r="662" spans="1:13" ht="13.5" customHeight="1" x14ac:dyDescent="0.2">
      <c r="A662" s="1">
        <v>6030</v>
      </c>
      <c r="B662" s="2">
        <v>45542</v>
      </c>
      <c r="C662" s="3" t="s">
        <v>151</v>
      </c>
      <c r="D662" s="1" t="s">
        <v>98</v>
      </c>
      <c r="E662" s="1" t="s">
        <v>22</v>
      </c>
      <c r="F662" s="4">
        <v>2871100</v>
      </c>
      <c r="G662" s="4">
        <v>2657300</v>
      </c>
      <c r="H662" s="4">
        <v>248500</v>
      </c>
      <c r="I662" s="4">
        <v>7300</v>
      </c>
      <c r="J662" s="4">
        <v>30500</v>
      </c>
      <c r="K662" s="4">
        <v>882300</v>
      </c>
      <c r="L662" s="4">
        <v>950400</v>
      </c>
      <c r="M662" s="4">
        <f>Tabla1[[#This Row],[BASE DEL DIA]]+Tabla1[[#This Row],[ENTREGAS]]+Tabla1[[#This Row],[TARJETAS]]+Tabla1[[#This Row],[NEQUI O QR]]+Tabla1[[#This Row],[VENTAS FE.CREDITO]]-Tabla1[[#This Row],[VENTAS NETAS]]-Tabla1[[#This Row],[BASE ANTERIOR]]</f>
        <v>4400</v>
      </c>
    </row>
    <row r="663" spans="1:13" ht="13.5" customHeight="1" x14ac:dyDescent="0.2">
      <c r="A663" s="1">
        <v>6029</v>
      </c>
      <c r="B663" s="2">
        <v>45541</v>
      </c>
      <c r="C663" s="3" t="s">
        <v>96</v>
      </c>
      <c r="D663" s="1" t="s">
        <v>98</v>
      </c>
      <c r="E663" s="1" t="s">
        <v>22</v>
      </c>
      <c r="F663" s="4">
        <v>2859300</v>
      </c>
      <c r="G663" s="4">
        <v>2570000</v>
      </c>
      <c r="H663" s="4">
        <v>192500</v>
      </c>
      <c r="I663" s="4">
        <v>28400</v>
      </c>
      <c r="J663" s="4">
        <v>53600</v>
      </c>
      <c r="K663" s="4">
        <v>950400</v>
      </c>
      <c r="L663" s="4">
        <v>927800</v>
      </c>
      <c r="M663" s="4">
        <f>Tabla1[[#This Row],[BASE DEL DIA]]+Tabla1[[#This Row],[ENTREGAS]]+Tabla1[[#This Row],[TARJETAS]]+Tabla1[[#This Row],[NEQUI O QR]]+Tabla1[[#This Row],[VENTAS FE.CREDITO]]-Tabla1[[#This Row],[VENTAS NETAS]]-Tabla1[[#This Row],[BASE ANTERIOR]]</f>
        <v>7800</v>
      </c>
    </row>
    <row r="664" spans="1:13" ht="13.5" customHeight="1" x14ac:dyDescent="0.2">
      <c r="A664" s="1">
        <v>6028</v>
      </c>
      <c r="B664" s="2">
        <v>45541</v>
      </c>
      <c r="C664" s="3" t="s">
        <v>135</v>
      </c>
      <c r="D664" s="1" t="s">
        <v>17</v>
      </c>
      <c r="E664" s="1" t="s">
        <v>22</v>
      </c>
      <c r="F664" s="4">
        <v>2109900</v>
      </c>
      <c r="G664" s="4">
        <v>2000000</v>
      </c>
      <c r="H664" s="4">
        <v>31800</v>
      </c>
      <c r="I664" s="4">
        <v>0</v>
      </c>
      <c r="J664" s="4">
        <v>0</v>
      </c>
      <c r="K664" s="4">
        <v>927800</v>
      </c>
      <c r="L664" s="4">
        <v>847550</v>
      </c>
      <c r="M664" s="4">
        <f>Tabla1[[#This Row],[BASE DEL DIA]]+Tabla1[[#This Row],[ENTREGAS]]+Tabla1[[#This Row],[TARJETAS]]+Tabla1[[#This Row],[NEQUI O QR]]+Tabla1[[#This Row],[VENTAS FE.CREDITO]]-Tabla1[[#This Row],[VENTAS NETAS]]-Tabla1[[#This Row],[BASE ANTERIOR]]</f>
        <v>2150</v>
      </c>
    </row>
    <row r="665" spans="1:13" ht="13.5" customHeight="1" x14ac:dyDescent="0.2">
      <c r="A665" s="1">
        <v>6027</v>
      </c>
      <c r="B665" s="2">
        <v>45540</v>
      </c>
      <c r="C665" s="3" t="s">
        <v>106</v>
      </c>
      <c r="D665" s="1" t="s">
        <v>17</v>
      </c>
      <c r="E665" s="1" t="s">
        <v>23</v>
      </c>
      <c r="F665" s="4">
        <v>5052300</v>
      </c>
      <c r="G665" s="4">
        <v>4750000</v>
      </c>
      <c r="H665" s="4">
        <v>200900</v>
      </c>
      <c r="I665" s="4">
        <v>128200</v>
      </c>
      <c r="J665" s="4">
        <v>28000</v>
      </c>
      <c r="K665" s="4">
        <v>847550</v>
      </c>
      <c r="L665" s="4">
        <v>894250</v>
      </c>
      <c r="M665" s="4">
        <f>Tabla1[[#This Row],[BASE DEL DIA]]+Tabla1[[#This Row],[ENTREGAS]]+Tabla1[[#This Row],[TARJETAS]]+Tabla1[[#This Row],[NEQUI O QR]]+Tabla1[[#This Row],[VENTAS FE.CREDITO]]-Tabla1[[#This Row],[VENTAS NETAS]]-Tabla1[[#This Row],[BASE ANTERIOR]]</f>
        <v>8100</v>
      </c>
    </row>
    <row r="666" spans="1:13" ht="13.5" customHeight="1" x14ac:dyDescent="0.2">
      <c r="B666" s="2">
        <v>45540</v>
      </c>
      <c r="C666" s="3" t="s">
        <v>126</v>
      </c>
      <c r="D666" s="1" t="s">
        <v>98</v>
      </c>
      <c r="E666" s="1" t="s">
        <v>22</v>
      </c>
      <c r="F666" s="4">
        <v>3721100</v>
      </c>
      <c r="G666" s="4">
        <v>3336000</v>
      </c>
      <c r="H666" s="4">
        <v>343200</v>
      </c>
      <c r="I666" s="4">
        <v>0</v>
      </c>
      <c r="J666" s="4">
        <v>2000</v>
      </c>
      <c r="K666" s="4">
        <v>894250</v>
      </c>
      <c r="L666" s="4">
        <v>850350</v>
      </c>
      <c r="M666" s="4">
        <f>Tabla1[[#This Row],[BASE DEL DIA]]+Tabla1[[#This Row],[ENTREGAS]]+Tabla1[[#This Row],[TARJETAS]]+Tabla1[[#This Row],[NEQUI O QR]]+Tabla1[[#This Row],[VENTAS FE.CREDITO]]-Tabla1[[#This Row],[VENTAS NETAS]]-Tabla1[[#This Row],[BASE ANTERIOR]]</f>
        <v>4000</v>
      </c>
    </row>
    <row r="667" spans="1:13" ht="13.5" customHeight="1" x14ac:dyDescent="0.2">
      <c r="A667" s="1">
        <v>6025</v>
      </c>
      <c r="B667" s="2">
        <v>45539</v>
      </c>
      <c r="C667" s="3" t="s">
        <v>73</v>
      </c>
      <c r="D667" s="1" t="s">
        <v>98</v>
      </c>
      <c r="E667" s="1" t="s">
        <v>22</v>
      </c>
      <c r="F667" s="4">
        <v>3762500</v>
      </c>
      <c r="G667" s="4">
        <v>3408000</v>
      </c>
      <c r="H667" s="4">
        <v>347200</v>
      </c>
      <c r="I667" s="4">
        <v>0</v>
      </c>
      <c r="J667" s="4">
        <v>80700</v>
      </c>
      <c r="K667" s="4">
        <v>850350</v>
      </c>
      <c r="L667" s="4">
        <v>919850</v>
      </c>
      <c r="M667" s="4">
        <f>Tabla1[[#This Row],[BASE DEL DIA]]+Tabla1[[#This Row],[ENTREGAS]]+Tabla1[[#This Row],[TARJETAS]]+Tabla1[[#This Row],[NEQUI O QR]]+Tabla1[[#This Row],[VENTAS FE.CREDITO]]-Tabla1[[#This Row],[VENTAS NETAS]]-Tabla1[[#This Row],[BASE ANTERIOR]]</f>
        <v>3900</v>
      </c>
    </row>
    <row r="668" spans="1:13" ht="13.5" customHeight="1" x14ac:dyDescent="0.2">
      <c r="A668" s="1">
        <v>6024</v>
      </c>
      <c r="B668" s="2">
        <v>45539</v>
      </c>
      <c r="C668" s="3" t="s">
        <v>151</v>
      </c>
      <c r="D668" s="1" t="s">
        <v>17</v>
      </c>
      <c r="E668" s="1" t="s">
        <v>22</v>
      </c>
      <c r="F668" s="4">
        <v>2782500</v>
      </c>
      <c r="G668" s="4">
        <v>2666250</v>
      </c>
      <c r="H668" s="4">
        <v>108100</v>
      </c>
      <c r="I668" s="4">
        <v>12100</v>
      </c>
      <c r="J668" s="4">
        <v>0</v>
      </c>
      <c r="K668" s="4">
        <v>919850</v>
      </c>
      <c r="L668" s="4">
        <v>921500</v>
      </c>
      <c r="M668" s="4">
        <f>Tabla1[[#This Row],[BASE DEL DIA]]+Tabla1[[#This Row],[ENTREGAS]]+Tabla1[[#This Row],[TARJETAS]]+Tabla1[[#This Row],[NEQUI O QR]]+Tabla1[[#This Row],[VENTAS FE.CREDITO]]-Tabla1[[#This Row],[VENTAS NETAS]]-Tabla1[[#This Row],[BASE ANTERIOR]]</f>
        <v>2300</v>
      </c>
    </row>
    <row r="669" spans="1:13" ht="13.5" customHeight="1" x14ac:dyDescent="0.2">
      <c r="A669" s="1">
        <v>6023</v>
      </c>
      <c r="B669" s="2">
        <v>45538</v>
      </c>
      <c r="C669" s="3" t="s">
        <v>85</v>
      </c>
      <c r="D669" s="1" t="s">
        <v>17</v>
      </c>
      <c r="E669" s="1" t="s">
        <v>23</v>
      </c>
      <c r="F669" s="4">
        <v>4616500</v>
      </c>
      <c r="G669" s="4">
        <v>4369000</v>
      </c>
      <c r="H669" s="4">
        <v>154600</v>
      </c>
      <c r="I669" s="4">
        <v>12000</v>
      </c>
      <c r="J669" s="4">
        <v>19900</v>
      </c>
      <c r="K669" s="4">
        <v>921500</v>
      </c>
      <c r="L669" s="4">
        <v>857200</v>
      </c>
      <c r="M669" s="4">
        <f>Tabla1[[#This Row],[BASE DEL DIA]]+Tabla1[[#This Row],[ENTREGAS]]+Tabla1[[#This Row],[TARJETAS]]+Tabla1[[#This Row],[NEQUI O QR]]+Tabla1[[#This Row],[VENTAS FE.CREDITO]]-Tabla1[[#This Row],[VENTAS NETAS]]-Tabla1[[#This Row],[BASE ANTERIOR]]</f>
        <v>3300</v>
      </c>
    </row>
    <row r="670" spans="1:13" ht="13.5" customHeight="1" x14ac:dyDescent="0.2">
      <c r="A670" s="1">
        <v>6022</v>
      </c>
      <c r="B670" s="2">
        <v>45538</v>
      </c>
      <c r="C670" s="3" t="s">
        <v>102</v>
      </c>
      <c r="D670" s="1" t="s">
        <v>98</v>
      </c>
      <c r="E670" s="1" t="s">
        <v>22</v>
      </c>
      <c r="F670" s="4">
        <v>3152800</v>
      </c>
      <c r="G670" s="4">
        <v>2997800</v>
      </c>
      <c r="H670" s="4">
        <v>190000</v>
      </c>
      <c r="I670" s="4">
        <v>0</v>
      </c>
      <c r="J670" s="4">
        <v>0</v>
      </c>
      <c r="K670" s="4">
        <v>857200</v>
      </c>
      <c r="L670" s="4">
        <v>894400</v>
      </c>
      <c r="M670" s="4">
        <f>Tabla1[[#This Row],[BASE DEL DIA]]+Tabla1[[#This Row],[ENTREGAS]]+Tabla1[[#This Row],[TARJETAS]]+Tabla1[[#This Row],[NEQUI O QR]]+Tabla1[[#This Row],[VENTAS FE.CREDITO]]-Tabla1[[#This Row],[VENTAS NETAS]]-Tabla1[[#This Row],[BASE ANTERIOR]]</f>
        <v>-2200</v>
      </c>
    </row>
    <row r="671" spans="1:13" ht="13.5" customHeight="1" x14ac:dyDescent="0.2">
      <c r="A671" s="1">
        <v>6021</v>
      </c>
      <c r="B671" s="2">
        <v>45537</v>
      </c>
      <c r="C671" s="3" t="s">
        <v>107</v>
      </c>
      <c r="D671" s="1" t="s">
        <v>98</v>
      </c>
      <c r="E671" s="1" t="s">
        <v>22</v>
      </c>
      <c r="F671" s="4">
        <v>5210600</v>
      </c>
      <c r="G671" s="4">
        <v>4673000</v>
      </c>
      <c r="H671" s="4">
        <v>449000</v>
      </c>
      <c r="I671" s="4">
        <v>14400</v>
      </c>
      <c r="J671" s="4">
        <v>33300</v>
      </c>
      <c r="K671" s="4">
        <v>894400</v>
      </c>
      <c r="L671" s="4">
        <v>847700</v>
      </c>
      <c r="M671" s="4">
        <f>Tabla1[[#This Row],[BASE DEL DIA]]+Tabla1[[#This Row],[ENTREGAS]]+Tabla1[[#This Row],[TARJETAS]]+Tabla1[[#This Row],[NEQUI O QR]]+Tabla1[[#This Row],[VENTAS FE.CREDITO]]-Tabla1[[#This Row],[VENTAS NETAS]]-Tabla1[[#This Row],[BASE ANTERIOR]]</f>
        <v>5800</v>
      </c>
    </row>
    <row r="672" spans="1:13" ht="13.5" customHeight="1" x14ac:dyDescent="0.2">
      <c r="A672" s="1">
        <v>6020</v>
      </c>
      <c r="B672" s="2">
        <v>45537</v>
      </c>
      <c r="C672" s="3" t="s">
        <v>150</v>
      </c>
      <c r="D672" s="1" t="s">
        <v>17</v>
      </c>
      <c r="E672" s="1" t="s">
        <v>22</v>
      </c>
      <c r="F672" s="4">
        <v>3574600</v>
      </c>
      <c r="G672" s="4">
        <v>3432100</v>
      </c>
      <c r="H672" s="4">
        <v>107100</v>
      </c>
      <c r="I672" s="4">
        <v>0</v>
      </c>
      <c r="J672" s="4">
        <v>11900</v>
      </c>
      <c r="K672" s="4">
        <v>847700</v>
      </c>
      <c r="L672" s="4">
        <v>852750</v>
      </c>
      <c r="M672" s="4">
        <f>Tabla1[[#This Row],[BASE DEL DIA]]+Tabla1[[#This Row],[ENTREGAS]]+Tabla1[[#This Row],[TARJETAS]]+Tabla1[[#This Row],[NEQUI O QR]]+Tabla1[[#This Row],[VENTAS FE.CREDITO]]-Tabla1[[#This Row],[VENTAS NETAS]]-Tabla1[[#This Row],[BASE ANTERIOR]]</f>
        <v>-28550</v>
      </c>
    </row>
    <row r="673" spans="1:13" ht="13.5" customHeight="1" x14ac:dyDescent="0.2">
      <c r="A673" s="1">
        <v>6018</v>
      </c>
      <c r="B673" s="2">
        <v>45536</v>
      </c>
      <c r="C673" s="3" t="s">
        <v>130</v>
      </c>
      <c r="D673" s="1" t="s">
        <v>17</v>
      </c>
      <c r="E673" s="1" t="s">
        <v>23</v>
      </c>
      <c r="F673" s="4">
        <v>5752100</v>
      </c>
      <c r="G673" s="4">
        <v>5385700</v>
      </c>
      <c r="H673" s="4">
        <v>299600</v>
      </c>
      <c r="I673" s="4">
        <v>0</v>
      </c>
      <c r="J673" s="4">
        <v>32200</v>
      </c>
      <c r="K673" s="4">
        <v>852750</v>
      </c>
      <c r="L673" s="4">
        <v>819050</v>
      </c>
      <c r="M673" s="4">
        <f>Tabla1[[#This Row],[BASE DEL DIA]]+Tabla1[[#This Row],[ENTREGAS]]+Tabla1[[#This Row],[TARJETAS]]+Tabla1[[#This Row],[NEQUI O QR]]+Tabla1[[#This Row],[VENTAS FE.CREDITO]]-Tabla1[[#This Row],[VENTAS NETAS]]-Tabla1[[#This Row],[BASE ANTERIOR]]</f>
        <v>-900</v>
      </c>
    </row>
    <row r="674" spans="1:13" ht="13.5" customHeight="1" x14ac:dyDescent="0.2">
      <c r="A674" s="1">
        <v>6017</v>
      </c>
      <c r="B674" s="2">
        <v>45536</v>
      </c>
      <c r="C674" s="3" t="s">
        <v>87</v>
      </c>
      <c r="D674" s="1" t="s">
        <v>98</v>
      </c>
      <c r="E674" s="1" t="s">
        <v>22</v>
      </c>
      <c r="F674" s="4">
        <v>5136000</v>
      </c>
      <c r="G674" s="4">
        <v>4246500</v>
      </c>
      <c r="H674" s="4">
        <v>936500</v>
      </c>
      <c r="K674" s="4">
        <v>819050</v>
      </c>
      <c r="L674" s="4">
        <v>860500</v>
      </c>
      <c r="M674" s="4">
        <f>Tabla1[[#This Row],[BASE DEL DIA]]+Tabla1[[#This Row],[ENTREGAS]]+Tabla1[[#This Row],[TARJETAS]]+Tabla1[[#This Row],[NEQUI O QR]]+Tabla1[[#This Row],[VENTAS FE.CREDITO]]-Tabla1[[#This Row],[VENTAS NETAS]]-Tabla1[[#This Row],[BASE ANTERIOR]]</f>
        <v>5550</v>
      </c>
    </row>
    <row r="675" spans="1:13" ht="13.5" customHeight="1" x14ac:dyDescent="0.2">
      <c r="A675" s="1">
        <v>6016</v>
      </c>
      <c r="B675" s="2">
        <v>45535</v>
      </c>
      <c r="C675" s="3" t="s">
        <v>40</v>
      </c>
      <c r="D675" s="1" t="s">
        <v>17</v>
      </c>
      <c r="E675" s="1" t="s">
        <v>23</v>
      </c>
      <c r="F675" s="4">
        <v>5606660</v>
      </c>
      <c r="G675" s="4">
        <v>4985700</v>
      </c>
      <c r="H675" s="4">
        <v>368300</v>
      </c>
      <c r="I675" s="4">
        <v>280400</v>
      </c>
      <c r="J675" s="4">
        <v>6700</v>
      </c>
      <c r="K675" s="4">
        <v>860500</v>
      </c>
      <c r="L675" s="4">
        <v>895500</v>
      </c>
      <c r="M675" s="4">
        <f>Tabla1[[#This Row],[BASE DEL DIA]]+Tabla1[[#This Row],[ENTREGAS]]+Tabla1[[#This Row],[TARJETAS]]+Tabla1[[#This Row],[NEQUI O QR]]+Tabla1[[#This Row],[VENTAS FE.CREDITO]]-Tabla1[[#This Row],[VENTAS NETAS]]-Tabla1[[#This Row],[BASE ANTERIOR]]</f>
        <v>-560</v>
      </c>
    </row>
    <row r="676" spans="1:13" ht="13.5" customHeight="1" x14ac:dyDescent="0.2">
      <c r="A676" s="1">
        <v>6015</v>
      </c>
      <c r="B676" s="2">
        <v>45535</v>
      </c>
      <c r="C676" s="3" t="s">
        <v>149</v>
      </c>
      <c r="D676" s="1" t="s">
        <v>18</v>
      </c>
      <c r="E676" s="1" t="s">
        <v>22</v>
      </c>
      <c r="F676" s="4">
        <v>4226620</v>
      </c>
      <c r="G676" s="4">
        <v>3372400</v>
      </c>
      <c r="H676" s="4">
        <v>821860</v>
      </c>
      <c r="I676" s="4">
        <v>0</v>
      </c>
      <c r="J676" s="4">
        <v>0</v>
      </c>
      <c r="K676" s="4">
        <v>895500</v>
      </c>
      <c r="L676" s="4">
        <v>861000</v>
      </c>
      <c r="M676" s="4">
        <f>Tabla1[[#This Row],[BASE DEL DIA]]+Tabla1[[#This Row],[ENTREGAS]]+Tabla1[[#This Row],[TARJETAS]]+Tabla1[[#This Row],[NEQUI O QR]]+Tabla1[[#This Row],[VENTAS FE.CREDITO]]-Tabla1[[#This Row],[VENTAS NETAS]]-Tabla1[[#This Row],[BASE ANTERIOR]]</f>
        <v>2140</v>
      </c>
    </row>
    <row r="677" spans="1:13" ht="13.5" customHeight="1" x14ac:dyDescent="0.2">
      <c r="A677" s="1">
        <v>6014</v>
      </c>
      <c r="B677" s="2">
        <v>45534</v>
      </c>
      <c r="C677" s="3" t="s">
        <v>85</v>
      </c>
      <c r="D677" s="1" t="s">
        <v>18</v>
      </c>
      <c r="E677" s="1" t="s">
        <v>23</v>
      </c>
      <c r="F677" s="4">
        <v>3771700</v>
      </c>
      <c r="G677" s="4">
        <v>3264700</v>
      </c>
      <c r="H677" s="4">
        <v>382720</v>
      </c>
      <c r="I677" s="4">
        <v>26300</v>
      </c>
      <c r="J677" s="4">
        <v>87100</v>
      </c>
      <c r="K677" s="4">
        <v>861000</v>
      </c>
      <c r="L677" s="4">
        <v>848200</v>
      </c>
      <c r="M677" s="4">
        <f>Tabla1[[#This Row],[BASE DEL DIA]]+Tabla1[[#This Row],[ENTREGAS]]+Tabla1[[#This Row],[TARJETAS]]+Tabla1[[#This Row],[NEQUI O QR]]+Tabla1[[#This Row],[VENTAS FE.CREDITO]]-Tabla1[[#This Row],[VENTAS NETAS]]-Tabla1[[#This Row],[BASE ANTERIOR]]</f>
        <v>1920</v>
      </c>
    </row>
    <row r="678" spans="1:13" ht="13.5" customHeight="1" x14ac:dyDescent="0.2">
      <c r="A678" s="1">
        <v>6013</v>
      </c>
      <c r="B678" s="2">
        <v>45534</v>
      </c>
      <c r="C678" s="3" t="s">
        <v>91</v>
      </c>
      <c r="D678" s="1" t="s">
        <v>17</v>
      </c>
      <c r="E678" s="1" t="s">
        <v>22</v>
      </c>
      <c r="F678" s="4">
        <v>2220450</v>
      </c>
      <c r="G678" s="4">
        <v>2128900</v>
      </c>
      <c r="H678" s="4">
        <v>100500</v>
      </c>
      <c r="I678" s="4">
        <v>0</v>
      </c>
      <c r="J678" s="4">
        <v>3400</v>
      </c>
      <c r="K678" s="4">
        <v>848200</v>
      </c>
      <c r="L678" s="4">
        <v>860250</v>
      </c>
      <c r="M678" s="4">
        <f>Tabla1[[#This Row],[BASE DEL DIA]]+Tabla1[[#This Row],[ENTREGAS]]+Tabla1[[#This Row],[TARJETAS]]+Tabla1[[#This Row],[NEQUI O QR]]+Tabla1[[#This Row],[VENTAS FE.CREDITO]]-Tabla1[[#This Row],[VENTAS NETAS]]-Tabla1[[#This Row],[BASE ANTERIOR]]</f>
        <v>300</v>
      </c>
    </row>
    <row r="679" spans="1:13" ht="13.5" customHeight="1" x14ac:dyDescent="0.2">
      <c r="A679" s="1">
        <v>6012</v>
      </c>
      <c r="B679" s="2">
        <v>45533</v>
      </c>
      <c r="C679" s="3" t="s">
        <v>72</v>
      </c>
      <c r="D679" s="1" t="s">
        <v>17</v>
      </c>
      <c r="E679" s="1" t="s">
        <v>23</v>
      </c>
      <c r="F679" s="4">
        <v>3388660</v>
      </c>
      <c r="G679" s="4">
        <v>2847000</v>
      </c>
      <c r="H679" s="4">
        <v>576700</v>
      </c>
      <c r="I679" s="4">
        <v>51000</v>
      </c>
      <c r="J679" s="4">
        <v>12100</v>
      </c>
      <c r="K679" s="4">
        <v>860250</v>
      </c>
      <c r="L679" s="4">
        <v>955500</v>
      </c>
      <c r="M679" s="4">
        <f>Tabla1[[#This Row],[BASE DEL DIA]]+Tabla1[[#This Row],[ENTREGAS]]+Tabla1[[#This Row],[TARJETAS]]+Tabla1[[#This Row],[NEQUI O QR]]+Tabla1[[#This Row],[VENTAS FE.CREDITO]]-Tabla1[[#This Row],[VENTAS NETAS]]-Tabla1[[#This Row],[BASE ANTERIOR]]</f>
        <v>2890</v>
      </c>
    </row>
    <row r="680" spans="1:13" ht="13.5" customHeight="1" x14ac:dyDescent="0.2">
      <c r="A680" s="1">
        <v>6011</v>
      </c>
      <c r="B680" s="2">
        <v>45533</v>
      </c>
      <c r="C680" s="3" t="s">
        <v>81</v>
      </c>
      <c r="D680" s="1" t="s">
        <v>18</v>
      </c>
      <c r="E680" s="1" t="s">
        <v>22</v>
      </c>
      <c r="F680" s="4">
        <v>2592780</v>
      </c>
      <c r="G680" s="4">
        <v>2490000</v>
      </c>
      <c r="H680" s="4">
        <v>51460</v>
      </c>
      <c r="I680" s="4">
        <v>6300</v>
      </c>
      <c r="J680" s="4">
        <v>0</v>
      </c>
      <c r="K680" s="4">
        <v>955500</v>
      </c>
      <c r="L680" s="4">
        <v>909100</v>
      </c>
      <c r="M680" s="4">
        <f>Tabla1[[#This Row],[BASE DEL DIA]]+Tabla1[[#This Row],[ENTREGAS]]+Tabla1[[#This Row],[TARJETAS]]+Tabla1[[#This Row],[NEQUI O QR]]+Tabla1[[#This Row],[VENTAS FE.CREDITO]]-Tabla1[[#This Row],[VENTAS NETAS]]-Tabla1[[#This Row],[BASE ANTERIOR]]</f>
        <v>1380</v>
      </c>
    </row>
    <row r="681" spans="1:13" ht="13.5" customHeight="1" x14ac:dyDescent="0.2">
      <c r="A681" s="1">
        <v>6010</v>
      </c>
      <c r="B681" s="2">
        <v>45532</v>
      </c>
      <c r="C681" s="3" t="s">
        <v>85</v>
      </c>
      <c r="D681" s="1" t="s">
        <v>18</v>
      </c>
      <c r="E681" s="1" t="s">
        <v>23</v>
      </c>
      <c r="F681" s="4">
        <v>3174780</v>
      </c>
      <c r="G681" s="4">
        <v>2812000</v>
      </c>
      <c r="H681" s="4">
        <v>267920</v>
      </c>
      <c r="I681" s="4">
        <v>0</v>
      </c>
      <c r="J681" s="4">
        <v>23000</v>
      </c>
      <c r="K681" s="4">
        <v>909100</v>
      </c>
      <c r="L681" s="4">
        <v>835100</v>
      </c>
      <c r="M681" s="4">
        <f>Tabla1[[#This Row],[BASE DEL DIA]]+Tabla1[[#This Row],[ENTREGAS]]+Tabla1[[#This Row],[TARJETAS]]+Tabla1[[#This Row],[NEQUI O QR]]+Tabla1[[#This Row],[VENTAS FE.CREDITO]]-Tabla1[[#This Row],[VENTAS NETAS]]-Tabla1[[#This Row],[BASE ANTERIOR]]</f>
        <v>2140</v>
      </c>
    </row>
    <row r="682" spans="1:13" ht="13.5" customHeight="1" x14ac:dyDescent="0.2">
      <c r="A682" s="1">
        <v>6009</v>
      </c>
      <c r="B682" s="2">
        <v>45532</v>
      </c>
      <c r="C682" s="3" t="s">
        <v>148</v>
      </c>
      <c r="D682" s="1" t="s">
        <v>98</v>
      </c>
      <c r="E682" s="1" t="s">
        <v>22</v>
      </c>
      <c r="F682" s="4">
        <v>2767660</v>
      </c>
      <c r="G682" s="4">
        <v>2697800</v>
      </c>
      <c r="H682" s="4">
        <v>116200</v>
      </c>
      <c r="I682" s="4">
        <v>5100</v>
      </c>
      <c r="J682" s="4">
        <v>9300</v>
      </c>
      <c r="K682" s="4">
        <v>835100</v>
      </c>
      <c r="L682" s="4">
        <v>888000</v>
      </c>
      <c r="M682" s="4">
        <f>Tabla1[[#This Row],[BASE DEL DIA]]+Tabla1[[#This Row],[ENTREGAS]]+Tabla1[[#This Row],[TARJETAS]]+Tabla1[[#This Row],[NEQUI O QR]]+Tabla1[[#This Row],[VENTAS FE.CREDITO]]-Tabla1[[#This Row],[VENTAS NETAS]]-Tabla1[[#This Row],[BASE ANTERIOR]]</f>
        <v>7840</v>
      </c>
    </row>
    <row r="683" spans="1:13" ht="13.5" customHeight="1" x14ac:dyDescent="0.2">
      <c r="B683" s="2">
        <v>45531</v>
      </c>
      <c r="C683" s="3" t="s">
        <v>124</v>
      </c>
      <c r="D683" s="1" t="s">
        <v>17</v>
      </c>
      <c r="E683" s="1" t="s">
        <v>23</v>
      </c>
      <c r="F683" s="4">
        <v>3537720</v>
      </c>
      <c r="G683" s="4">
        <v>3312300</v>
      </c>
      <c r="H683" s="4">
        <v>185600</v>
      </c>
      <c r="I683" s="4">
        <v>43600</v>
      </c>
      <c r="J683" s="4">
        <v>7300</v>
      </c>
      <c r="K683" s="4">
        <v>888000</v>
      </c>
      <c r="L683" s="4">
        <v>898200</v>
      </c>
      <c r="M683" s="4">
        <f>Tabla1[[#This Row],[BASE DEL DIA]]+Tabla1[[#This Row],[ENTREGAS]]+Tabla1[[#This Row],[TARJETAS]]+Tabla1[[#This Row],[NEQUI O QR]]+Tabla1[[#This Row],[VENTAS FE.CREDITO]]-Tabla1[[#This Row],[VENTAS NETAS]]-Tabla1[[#This Row],[BASE ANTERIOR]]</f>
        <v>880</v>
      </c>
    </row>
    <row r="684" spans="1:13" ht="13.5" customHeight="1" x14ac:dyDescent="0.2">
      <c r="A684" s="1">
        <v>6007</v>
      </c>
      <c r="B684" s="2">
        <v>45531</v>
      </c>
      <c r="C684" s="3" t="s">
        <v>62</v>
      </c>
      <c r="D684" s="1" t="s">
        <v>18</v>
      </c>
      <c r="E684" s="1" t="s">
        <v>22</v>
      </c>
      <c r="F684" s="4">
        <v>2725139</v>
      </c>
      <c r="G684" s="4">
        <v>2405050</v>
      </c>
      <c r="H684" s="4">
        <v>357560</v>
      </c>
      <c r="I684" s="4">
        <v>3000</v>
      </c>
      <c r="K684" s="4">
        <v>898200</v>
      </c>
      <c r="L684" s="4">
        <v>939750</v>
      </c>
      <c r="M684" s="4">
        <f>Tabla1[[#This Row],[BASE DEL DIA]]+Tabla1[[#This Row],[ENTREGAS]]+Tabla1[[#This Row],[TARJETAS]]+Tabla1[[#This Row],[NEQUI O QR]]+Tabla1[[#This Row],[VENTAS FE.CREDITO]]-Tabla1[[#This Row],[VENTAS NETAS]]-Tabla1[[#This Row],[BASE ANTERIOR]]</f>
        <v>-1079</v>
      </c>
    </row>
    <row r="685" spans="1:13" ht="13.5" customHeight="1" x14ac:dyDescent="0.2">
      <c r="A685" s="1">
        <v>6006</v>
      </c>
      <c r="B685" s="2">
        <v>45530</v>
      </c>
      <c r="C685" s="3" t="s">
        <v>106</v>
      </c>
      <c r="D685" s="1" t="s">
        <v>18</v>
      </c>
      <c r="E685" s="1" t="s">
        <v>23</v>
      </c>
      <c r="F685" s="4">
        <v>3481780</v>
      </c>
      <c r="G685" s="4">
        <v>3292000</v>
      </c>
      <c r="H685" s="4">
        <v>153880</v>
      </c>
      <c r="I685" s="4">
        <v>31000</v>
      </c>
      <c r="J685" s="4">
        <v>12300</v>
      </c>
      <c r="K685" s="4">
        <v>939750</v>
      </c>
      <c r="L685" s="4">
        <v>944450</v>
      </c>
      <c r="M685" s="4">
        <f>Tabla1[[#This Row],[BASE DEL DIA]]+Tabla1[[#This Row],[ENTREGAS]]+Tabla1[[#This Row],[TARJETAS]]+Tabla1[[#This Row],[NEQUI O QR]]+Tabla1[[#This Row],[VENTAS FE.CREDITO]]-Tabla1[[#This Row],[VENTAS NETAS]]-Tabla1[[#This Row],[BASE ANTERIOR]]</f>
        <v>2700</v>
      </c>
    </row>
    <row r="686" spans="1:13" ht="13.5" customHeight="1" x14ac:dyDescent="0.2">
      <c r="A686" s="1">
        <v>6005</v>
      </c>
      <c r="B686" s="2">
        <v>45530</v>
      </c>
      <c r="C686" s="3" t="s">
        <v>145</v>
      </c>
      <c r="D686" s="1" t="s">
        <v>18</v>
      </c>
      <c r="E686" s="1" t="s">
        <v>22</v>
      </c>
      <c r="F686" s="4">
        <v>2564150</v>
      </c>
      <c r="G686" s="4">
        <v>2335700</v>
      </c>
      <c r="H686" s="4">
        <v>59700</v>
      </c>
      <c r="I686" s="4">
        <v>38500</v>
      </c>
      <c r="J686" s="4">
        <v>8300</v>
      </c>
      <c r="K686" s="4">
        <v>944450</v>
      </c>
      <c r="L686" s="4">
        <v>815550</v>
      </c>
      <c r="M686" s="4">
        <f>Tabla1[[#This Row],[BASE DEL DIA]]+Tabla1[[#This Row],[ENTREGAS]]+Tabla1[[#This Row],[TARJETAS]]+Tabla1[[#This Row],[NEQUI O QR]]+Tabla1[[#This Row],[VENTAS FE.CREDITO]]-Tabla1[[#This Row],[VENTAS NETAS]]-Tabla1[[#This Row],[BASE ANTERIOR]]</f>
        <v>6950</v>
      </c>
    </row>
    <row r="687" spans="1:13" ht="13.5" customHeight="1" x14ac:dyDescent="0.2">
      <c r="A687" s="1">
        <v>6004</v>
      </c>
      <c r="B687" s="2">
        <v>45529</v>
      </c>
      <c r="C687" s="3" t="s">
        <v>42</v>
      </c>
      <c r="D687" s="1" t="s">
        <v>17</v>
      </c>
      <c r="E687" s="1" t="s">
        <v>23</v>
      </c>
      <c r="F687" s="4">
        <v>4666200</v>
      </c>
      <c r="G687" s="4">
        <v>3897300</v>
      </c>
      <c r="H687" s="4">
        <v>589700</v>
      </c>
      <c r="I687" s="4">
        <v>162100</v>
      </c>
      <c r="J687" s="4">
        <v>8500</v>
      </c>
      <c r="K687" s="4">
        <v>815550</v>
      </c>
      <c r="L687" s="4">
        <v>805700</v>
      </c>
      <c r="M687" s="4">
        <f>Tabla1[[#This Row],[BASE DEL DIA]]+Tabla1[[#This Row],[ENTREGAS]]+Tabla1[[#This Row],[TARJETAS]]+Tabla1[[#This Row],[NEQUI O QR]]+Tabla1[[#This Row],[VENTAS FE.CREDITO]]-Tabla1[[#This Row],[VENTAS NETAS]]-Tabla1[[#This Row],[BASE ANTERIOR]]</f>
        <v>1250</v>
      </c>
    </row>
    <row r="688" spans="1:13" ht="13.5" customHeight="1" x14ac:dyDescent="0.2">
      <c r="A688" s="1">
        <v>6003</v>
      </c>
      <c r="B688" s="2">
        <v>45529</v>
      </c>
      <c r="C688" s="3" t="s">
        <v>88</v>
      </c>
      <c r="D688" s="1" t="s">
        <v>16</v>
      </c>
      <c r="E688" s="1" t="s">
        <v>22</v>
      </c>
      <c r="F688" s="4">
        <v>3465000</v>
      </c>
      <c r="G688" s="4">
        <v>3300000</v>
      </c>
      <c r="H688" s="4">
        <v>301600</v>
      </c>
      <c r="I688" s="4">
        <v>7100</v>
      </c>
      <c r="J688" s="4">
        <v>0</v>
      </c>
      <c r="K688" s="4">
        <v>805700</v>
      </c>
      <c r="L688" s="4">
        <v>956200</v>
      </c>
      <c r="M688" s="4">
        <f>Tabla1[[#This Row],[BASE DEL DIA]]+Tabla1[[#This Row],[ENTREGAS]]+Tabla1[[#This Row],[TARJETAS]]+Tabla1[[#This Row],[NEQUI O QR]]+Tabla1[[#This Row],[VENTAS FE.CREDITO]]-Tabla1[[#This Row],[VENTAS NETAS]]-Tabla1[[#This Row],[BASE ANTERIOR]]</f>
        <v>-6800</v>
      </c>
    </row>
    <row r="689" spans="1:13" ht="13.5" customHeight="1" x14ac:dyDescent="0.2">
      <c r="A689" s="1">
        <v>5987</v>
      </c>
      <c r="B689" s="2">
        <v>45521</v>
      </c>
      <c r="C689" s="3" t="s">
        <v>85</v>
      </c>
      <c r="D689" s="1" t="s">
        <v>17</v>
      </c>
      <c r="E689" s="1" t="s">
        <v>23</v>
      </c>
      <c r="F689" s="4">
        <v>5261300</v>
      </c>
      <c r="G689" s="4">
        <v>5149500</v>
      </c>
      <c r="H689" s="4">
        <v>104500</v>
      </c>
      <c r="I689" s="4">
        <v>48600</v>
      </c>
      <c r="J689" s="4">
        <v>51700</v>
      </c>
      <c r="K689" s="4">
        <v>854950</v>
      </c>
      <c r="L689" s="4">
        <v>947050</v>
      </c>
      <c r="M689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690" spans="1:13" ht="13.5" customHeight="1" x14ac:dyDescent="0.2">
      <c r="A690" s="1">
        <v>5986</v>
      </c>
      <c r="B690" s="2">
        <v>45521</v>
      </c>
      <c r="C690" s="3" t="s">
        <v>109</v>
      </c>
      <c r="D690" s="1" t="s">
        <v>19</v>
      </c>
      <c r="E690" s="1" t="s">
        <v>22</v>
      </c>
      <c r="F690" s="4">
        <v>3002400</v>
      </c>
      <c r="G690" s="4">
        <v>2820000</v>
      </c>
      <c r="H690" s="4">
        <v>188600</v>
      </c>
      <c r="I690" s="4">
        <v>5100</v>
      </c>
      <c r="K690" s="4">
        <v>947050</v>
      </c>
      <c r="L690" s="4">
        <v>982100</v>
      </c>
      <c r="M690" s="4">
        <f>Tabla1[[#This Row],[BASE DEL DIA]]+Tabla1[[#This Row],[ENTREGAS]]+Tabla1[[#This Row],[TARJETAS]]+Tabla1[[#This Row],[NEQUI O QR]]+Tabla1[[#This Row],[VENTAS FE.CREDITO]]-Tabla1[[#This Row],[VENTAS NETAS]]-Tabla1[[#This Row],[BASE ANTERIOR]]</f>
        <v>-23750</v>
      </c>
    </row>
    <row r="691" spans="1:13" ht="13.5" customHeight="1" x14ac:dyDescent="0.2">
      <c r="A691" s="1">
        <v>5985</v>
      </c>
      <c r="B691" s="2">
        <v>45520</v>
      </c>
      <c r="C691" s="3" t="s">
        <v>85</v>
      </c>
      <c r="D691" s="1" t="s">
        <v>18</v>
      </c>
      <c r="E691" s="1" t="s">
        <v>23</v>
      </c>
      <c r="F691" s="4">
        <v>4541570</v>
      </c>
      <c r="G691" s="4">
        <v>4400000</v>
      </c>
      <c r="H691" s="4">
        <v>39300</v>
      </c>
      <c r="I691" s="4">
        <v>8700</v>
      </c>
      <c r="J691" s="4">
        <v>29600</v>
      </c>
      <c r="K691" s="4">
        <v>982100</v>
      </c>
      <c r="L691" s="4">
        <v>916350</v>
      </c>
      <c r="M691" s="4">
        <f>Tabla1[[#This Row],[BASE DEL DIA]]+Tabla1[[#This Row],[ENTREGAS]]+Tabla1[[#This Row],[TARJETAS]]+Tabla1[[#This Row],[NEQUI O QR]]+Tabla1[[#This Row],[VENTAS FE.CREDITO]]-Tabla1[[#This Row],[VENTAS NETAS]]-Tabla1[[#This Row],[BASE ANTERIOR]]</f>
        <v>1780</v>
      </c>
    </row>
    <row r="692" spans="1:13" ht="13.5" customHeight="1" x14ac:dyDescent="0.2">
      <c r="A692" s="1">
        <v>5984</v>
      </c>
      <c r="B692" s="2">
        <v>45520</v>
      </c>
      <c r="C692" s="3" t="s">
        <v>112</v>
      </c>
      <c r="D692" s="1" t="s">
        <v>17</v>
      </c>
      <c r="E692" s="1" t="s">
        <v>22</v>
      </c>
      <c r="F692" s="4">
        <v>3996300</v>
      </c>
      <c r="G692" s="4">
        <v>3706400</v>
      </c>
      <c r="H692" s="4">
        <v>174000</v>
      </c>
      <c r="I692" s="4">
        <v>67400</v>
      </c>
      <c r="J692" s="4">
        <v>8700</v>
      </c>
      <c r="K692" s="4">
        <v>916350</v>
      </c>
      <c r="L692" s="4">
        <v>882750</v>
      </c>
      <c r="M692" s="4">
        <f>Tabla1[[#This Row],[BASE DEL DIA]]+Tabla1[[#This Row],[ENTREGAS]]+Tabla1[[#This Row],[TARJETAS]]+Tabla1[[#This Row],[NEQUI O QR]]+Tabla1[[#This Row],[VENTAS FE.CREDITO]]-Tabla1[[#This Row],[VENTAS NETAS]]-Tabla1[[#This Row],[BASE ANTERIOR]]</f>
        <v>-6200</v>
      </c>
    </row>
    <row r="693" spans="1:13" ht="13.5" customHeight="1" x14ac:dyDescent="0.2">
      <c r="A693" s="1">
        <v>5983</v>
      </c>
      <c r="B693" s="2">
        <v>45519</v>
      </c>
      <c r="C693" s="3" t="s">
        <v>83</v>
      </c>
      <c r="D693" s="1" t="s">
        <v>17</v>
      </c>
      <c r="E693" s="1" t="s">
        <v>23</v>
      </c>
      <c r="F693" s="4">
        <v>4007904</v>
      </c>
      <c r="G693" s="4">
        <v>3613000</v>
      </c>
      <c r="H693" s="4">
        <v>400300</v>
      </c>
      <c r="I693" s="4">
        <v>0</v>
      </c>
      <c r="J693" s="4">
        <v>30200</v>
      </c>
      <c r="K693" s="4">
        <v>882750</v>
      </c>
      <c r="L693" s="4">
        <v>918650</v>
      </c>
      <c r="M693" s="4">
        <f>Tabla1[[#This Row],[BASE DEL DIA]]+Tabla1[[#This Row],[ENTREGAS]]+Tabla1[[#This Row],[TARJETAS]]+Tabla1[[#This Row],[NEQUI O QR]]+Tabla1[[#This Row],[VENTAS FE.CREDITO]]-Tabla1[[#This Row],[VENTAS NETAS]]-Tabla1[[#This Row],[BASE ANTERIOR]]</f>
        <v>-304</v>
      </c>
    </row>
    <row r="694" spans="1:13" ht="13.5" customHeight="1" x14ac:dyDescent="0.2">
      <c r="A694" s="1">
        <v>5982</v>
      </c>
      <c r="B694" s="2">
        <v>45519</v>
      </c>
      <c r="C694" s="3" t="s">
        <v>39</v>
      </c>
      <c r="D694" s="1" t="s">
        <v>18</v>
      </c>
      <c r="E694" s="1" t="s">
        <v>22</v>
      </c>
      <c r="F694" s="4">
        <v>2462260</v>
      </c>
      <c r="G694" s="4">
        <v>2459100</v>
      </c>
      <c r="H694" s="4">
        <v>83320</v>
      </c>
      <c r="I694" s="4">
        <v>0</v>
      </c>
      <c r="J694" s="4">
        <v>0</v>
      </c>
      <c r="K694" s="4">
        <v>918650</v>
      </c>
      <c r="L694" s="4">
        <v>997150</v>
      </c>
      <c r="M694" s="4">
        <f>Tabla1[[#This Row],[BASE DEL DIA]]+Tabla1[[#This Row],[ENTREGAS]]+Tabla1[[#This Row],[TARJETAS]]+Tabla1[[#This Row],[NEQUI O QR]]+Tabla1[[#This Row],[VENTAS FE.CREDITO]]-Tabla1[[#This Row],[VENTAS NETAS]]-Tabla1[[#This Row],[BASE ANTERIOR]]</f>
        <v>1660</v>
      </c>
    </row>
    <row r="695" spans="1:13" ht="13.5" customHeight="1" x14ac:dyDescent="0.2">
      <c r="A695" s="1">
        <v>5981</v>
      </c>
      <c r="B695" s="2">
        <v>45518</v>
      </c>
      <c r="C695" s="3" t="s">
        <v>66</v>
      </c>
      <c r="D695" s="1" t="s">
        <v>18</v>
      </c>
      <c r="E695" s="1" t="s">
        <v>23</v>
      </c>
      <c r="F695" s="4">
        <v>2941410</v>
      </c>
      <c r="G695" s="4">
        <v>2441000</v>
      </c>
      <c r="H695" s="4">
        <v>369610</v>
      </c>
      <c r="I695" s="4">
        <v>0</v>
      </c>
      <c r="J695" s="4">
        <v>29900</v>
      </c>
      <c r="K695" s="4">
        <v>997150</v>
      </c>
      <c r="L695" s="4">
        <v>896150</v>
      </c>
      <c r="M695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696" spans="1:13" ht="13.5" customHeight="1" x14ac:dyDescent="0.2">
      <c r="A696" s="1">
        <v>5980</v>
      </c>
      <c r="B696" s="2">
        <v>45518</v>
      </c>
      <c r="C696" s="3" t="s">
        <v>68</v>
      </c>
      <c r="D696" s="1" t="s">
        <v>17</v>
      </c>
      <c r="E696" s="1" t="s">
        <v>22</v>
      </c>
      <c r="F696" s="4">
        <v>2617700</v>
      </c>
      <c r="G696" s="4">
        <v>2505900</v>
      </c>
      <c r="H696" s="4">
        <v>47100</v>
      </c>
      <c r="I696" s="4">
        <v>59400</v>
      </c>
      <c r="J696" s="4">
        <v>14200</v>
      </c>
      <c r="K696" s="4">
        <v>896150</v>
      </c>
      <c r="L696" s="4">
        <v>901350</v>
      </c>
      <c r="M696" s="4">
        <f>Tabla1[[#This Row],[BASE DEL DIA]]+Tabla1[[#This Row],[ENTREGAS]]+Tabla1[[#This Row],[TARJETAS]]+Tabla1[[#This Row],[NEQUI O QR]]+Tabla1[[#This Row],[VENTAS FE.CREDITO]]-Tabla1[[#This Row],[VENTAS NETAS]]-Tabla1[[#This Row],[BASE ANTERIOR]]</f>
        <v>3700</v>
      </c>
    </row>
    <row r="697" spans="1:13" ht="13.5" customHeight="1" x14ac:dyDescent="0.2">
      <c r="A697" s="1">
        <v>5979</v>
      </c>
      <c r="B697" s="2">
        <v>45517</v>
      </c>
      <c r="C697" s="3" t="s">
        <v>66</v>
      </c>
      <c r="D697" s="1" t="s">
        <v>17</v>
      </c>
      <c r="E697" s="1" t="s">
        <v>23</v>
      </c>
      <c r="F697" s="4">
        <v>2823000</v>
      </c>
      <c r="G697" s="4">
        <v>2566000</v>
      </c>
      <c r="H697" s="4">
        <v>187300</v>
      </c>
      <c r="I697" s="4">
        <v>0</v>
      </c>
      <c r="J697" s="4">
        <v>7700</v>
      </c>
      <c r="K697" s="4">
        <v>901350</v>
      </c>
      <c r="L697" s="4">
        <v>841550</v>
      </c>
      <c r="M697" s="4">
        <f>Tabla1[[#This Row],[BASE DEL DIA]]+Tabla1[[#This Row],[ENTREGAS]]+Tabla1[[#This Row],[TARJETAS]]+Tabla1[[#This Row],[NEQUI O QR]]+Tabla1[[#This Row],[VENTAS FE.CREDITO]]-Tabla1[[#This Row],[VENTAS NETAS]]-Tabla1[[#This Row],[BASE ANTERIOR]]</f>
        <v>-2200</v>
      </c>
    </row>
    <row r="698" spans="1:13" ht="13.5" customHeight="1" x14ac:dyDescent="0.2">
      <c r="A698" s="1">
        <v>5978</v>
      </c>
      <c r="B698" s="2">
        <v>45517</v>
      </c>
      <c r="C698" s="3" t="s">
        <v>92</v>
      </c>
      <c r="D698" s="1" t="s">
        <v>18</v>
      </c>
      <c r="E698" s="1" t="s">
        <v>22</v>
      </c>
      <c r="F698" s="4">
        <v>2516860</v>
      </c>
      <c r="G698" s="4">
        <v>2550000</v>
      </c>
      <c r="H698" s="4">
        <v>50800</v>
      </c>
      <c r="I698" s="4">
        <v>0</v>
      </c>
      <c r="J698" s="4">
        <v>4000</v>
      </c>
      <c r="K698" s="4">
        <v>841550</v>
      </c>
      <c r="L698" s="4">
        <v>929000</v>
      </c>
      <c r="M698" s="4">
        <f>Tabla1[[#This Row],[BASE DEL DIA]]+Tabla1[[#This Row],[ENTREGAS]]+Tabla1[[#This Row],[TARJETAS]]+Tabla1[[#This Row],[NEQUI O QR]]+Tabla1[[#This Row],[VENTAS FE.CREDITO]]-Tabla1[[#This Row],[VENTAS NETAS]]-Tabla1[[#This Row],[BASE ANTERIOR]]</f>
        <v>490</v>
      </c>
    </row>
    <row r="699" spans="1:13" ht="13.5" customHeight="1" x14ac:dyDescent="0.2">
      <c r="A699" s="1">
        <v>5977</v>
      </c>
      <c r="B699" s="2">
        <v>45516</v>
      </c>
      <c r="C699" s="3" t="s">
        <v>130</v>
      </c>
      <c r="D699" s="1" t="s">
        <v>18</v>
      </c>
      <c r="E699" s="1" t="s">
        <v>23</v>
      </c>
      <c r="F699" s="4">
        <v>3447900</v>
      </c>
      <c r="G699" s="4">
        <v>3290000</v>
      </c>
      <c r="H699" s="4">
        <v>230840</v>
      </c>
      <c r="I699" s="4">
        <v>5100</v>
      </c>
      <c r="J699" s="4">
        <v>29700</v>
      </c>
      <c r="K699" s="4">
        <v>929000</v>
      </c>
      <c r="L699" s="4">
        <v>1033300</v>
      </c>
      <c r="M699" s="4">
        <f>Tabla1[[#This Row],[BASE DEL DIA]]+Tabla1[[#This Row],[ENTREGAS]]+Tabla1[[#This Row],[TARJETAS]]+Tabla1[[#This Row],[NEQUI O QR]]+Tabla1[[#This Row],[VENTAS FE.CREDITO]]-Tabla1[[#This Row],[VENTAS NETAS]]-Tabla1[[#This Row],[BASE ANTERIOR]]</f>
        <v>3440</v>
      </c>
    </row>
    <row r="700" spans="1:13" ht="13.5" customHeight="1" x14ac:dyDescent="0.2">
      <c r="A700" s="1">
        <v>5976</v>
      </c>
      <c r="B700" s="2">
        <v>45516</v>
      </c>
      <c r="C700" s="3" t="s">
        <v>128</v>
      </c>
      <c r="D700" s="1" t="s">
        <v>17</v>
      </c>
      <c r="E700" s="1" t="s">
        <v>22</v>
      </c>
      <c r="F700" s="4">
        <v>2135800</v>
      </c>
      <c r="G700" s="4">
        <v>2018600</v>
      </c>
      <c r="H700" s="4">
        <v>0</v>
      </c>
      <c r="I700" s="4">
        <v>0</v>
      </c>
      <c r="J700" s="4">
        <v>6000</v>
      </c>
      <c r="K700" s="4">
        <v>1033300</v>
      </c>
      <c r="L700" s="4">
        <v>921450</v>
      </c>
      <c r="M700" s="4">
        <f>Tabla1[[#This Row],[BASE DEL DIA]]+Tabla1[[#This Row],[ENTREGAS]]+Tabla1[[#This Row],[TARJETAS]]+Tabla1[[#This Row],[NEQUI O QR]]+Tabla1[[#This Row],[VENTAS FE.CREDITO]]-Tabla1[[#This Row],[VENTAS NETAS]]-Tabla1[[#This Row],[BASE ANTERIOR]]</f>
        <v>650</v>
      </c>
    </row>
    <row r="701" spans="1:13" ht="13.5" customHeight="1" x14ac:dyDescent="0.2">
      <c r="A701" s="1">
        <v>5975</v>
      </c>
      <c r="B701" s="2">
        <v>45515</v>
      </c>
      <c r="C701" s="3" t="s">
        <v>85</v>
      </c>
      <c r="D701" s="1" t="s">
        <v>17</v>
      </c>
      <c r="E701" s="1" t="s">
        <v>23</v>
      </c>
      <c r="F701" s="4">
        <v>3646050</v>
      </c>
      <c r="G701" s="4">
        <v>3436000</v>
      </c>
      <c r="H701" s="4">
        <v>244900</v>
      </c>
      <c r="I701" s="4">
        <v>14000</v>
      </c>
      <c r="J701" s="4">
        <v>10000</v>
      </c>
      <c r="K701" s="4">
        <v>921450</v>
      </c>
      <c r="L701" s="4">
        <v>980300</v>
      </c>
      <c r="M701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702" spans="1:13" ht="13.5" customHeight="1" x14ac:dyDescent="0.2">
      <c r="A702" s="1">
        <v>5974</v>
      </c>
      <c r="B702" s="2">
        <v>45515</v>
      </c>
      <c r="C702" s="3" t="s">
        <v>104</v>
      </c>
      <c r="D702" s="1" t="s">
        <v>18</v>
      </c>
      <c r="E702" s="1" t="s">
        <v>22</v>
      </c>
      <c r="F702" s="4">
        <v>3831250</v>
      </c>
      <c r="G702" s="4">
        <v>3547600</v>
      </c>
      <c r="H702" s="4">
        <v>201820</v>
      </c>
      <c r="I702" s="4">
        <v>0</v>
      </c>
      <c r="J702" s="4">
        <v>2200</v>
      </c>
      <c r="K702" s="4">
        <v>980300</v>
      </c>
      <c r="L702" s="4">
        <v>898950</v>
      </c>
      <c r="M702" s="4">
        <f>Tabla1[[#This Row],[BASE DEL DIA]]+Tabla1[[#This Row],[ENTREGAS]]+Tabla1[[#This Row],[TARJETAS]]+Tabla1[[#This Row],[NEQUI O QR]]+Tabla1[[#This Row],[VENTAS FE.CREDITO]]-Tabla1[[#This Row],[VENTAS NETAS]]-Tabla1[[#This Row],[BASE ANTERIOR]]</f>
        <v>1720</v>
      </c>
    </row>
    <row r="703" spans="1:13" ht="13.5" customHeight="1" x14ac:dyDescent="0.2">
      <c r="A703" s="1">
        <v>5973</v>
      </c>
      <c r="B703" s="2">
        <v>45514</v>
      </c>
      <c r="C703" s="3" t="s">
        <v>66</v>
      </c>
      <c r="D703" s="1" t="s">
        <v>18</v>
      </c>
      <c r="E703" s="1" t="s">
        <v>23</v>
      </c>
      <c r="F703" s="4">
        <v>3931900</v>
      </c>
      <c r="G703" s="4">
        <v>3840000</v>
      </c>
      <c r="H703" s="4">
        <v>67360</v>
      </c>
      <c r="I703" s="4">
        <v>20000</v>
      </c>
      <c r="J703" s="4">
        <v>89500</v>
      </c>
      <c r="K703" s="4">
        <v>898950</v>
      </c>
      <c r="L703" s="4">
        <v>981850</v>
      </c>
      <c r="M703" s="4">
        <f>Tabla1[[#This Row],[BASE DEL DIA]]+Tabla1[[#This Row],[ENTREGAS]]+Tabla1[[#This Row],[TARJETAS]]+Tabla1[[#This Row],[NEQUI O QR]]+Tabla1[[#This Row],[VENTAS FE.CREDITO]]-Tabla1[[#This Row],[VENTAS NETAS]]-Tabla1[[#This Row],[BASE ANTERIOR]]</f>
        <v>2060</v>
      </c>
    </row>
    <row r="704" spans="1:13" ht="13.5" customHeight="1" x14ac:dyDescent="0.2">
      <c r="A704" s="1">
        <v>5972</v>
      </c>
      <c r="B704" s="2">
        <v>45514</v>
      </c>
      <c r="C704" s="3" t="s">
        <v>128</v>
      </c>
      <c r="D704" s="1" t="s">
        <v>17</v>
      </c>
      <c r="E704" s="1" t="s">
        <v>22</v>
      </c>
      <c r="F704" s="4">
        <v>2975550</v>
      </c>
      <c r="G704" s="4">
        <v>2417100</v>
      </c>
      <c r="H704" s="4">
        <v>377200</v>
      </c>
      <c r="I704" s="4">
        <v>0</v>
      </c>
      <c r="J704" s="4">
        <v>0</v>
      </c>
      <c r="K704" s="4">
        <v>981850</v>
      </c>
      <c r="L704" s="4">
        <v>800950</v>
      </c>
      <c r="M704" s="4">
        <f>Tabla1[[#This Row],[BASE DEL DIA]]+Tabla1[[#This Row],[ENTREGAS]]+Tabla1[[#This Row],[TARJETAS]]+Tabla1[[#This Row],[NEQUI O QR]]+Tabla1[[#This Row],[VENTAS FE.CREDITO]]-Tabla1[[#This Row],[VENTAS NETAS]]-Tabla1[[#This Row],[BASE ANTERIOR]]</f>
        <v>-350</v>
      </c>
    </row>
    <row r="705" spans="1:13" ht="13.5" customHeight="1" x14ac:dyDescent="0.2">
      <c r="A705" s="1">
        <v>5971</v>
      </c>
      <c r="B705" s="2">
        <v>45513</v>
      </c>
      <c r="C705" s="3" t="s">
        <v>73</v>
      </c>
      <c r="D705" s="1" t="s">
        <v>17</v>
      </c>
      <c r="E705" s="1" t="s">
        <v>22</v>
      </c>
      <c r="F705" s="4">
        <v>3352200</v>
      </c>
      <c r="G705" s="4">
        <v>3080000</v>
      </c>
      <c r="H705" s="4">
        <v>297200</v>
      </c>
      <c r="I705" s="4">
        <v>21200</v>
      </c>
      <c r="J705" s="4">
        <v>5900</v>
      </c>
      <c r="K705" s="4">
        <v>800950</v>
      </c>
      <c r="L705" s="4">
        <v>852100</v>
      </c>
      <c r="M705" s="4">
        <f>Tabla1[[#This Row],[BASE DEL DIA]]+Tabla1[[#This Row],[ENTREGAS]]+Tabla1[[#This Row],[TARJETAS]]+Tabla1[[#This Row],[NEQUI O QR]]+Tabla1[[#This Row],[VENTAS FE.CREDITO]]-Tabla1[[#This Row],[VENTAS NETAS]]-Tabla1[[#This Row],[BASE ANTERIOR]]</f>
        <v>950</v>
      </c>
    </row>
    <row r="706" spans="1:13" ht="13.5" customHeight="1" x14ac:dyDescent="0.2">
      <c r="A706" s="1">
        <v>5970</v>
      </c>
      <c r="B706" s="2">
        <v>45513</v>
      </c>
      <c r="C706" s="3" t="s">
        <v>147</v>
      </c>
      <c r="D706" s="1" t="s">
        <v>18</v>
      </c>
      <c r="E706" s="1" t="s">
        <v>23</v>
      </c>
      <c r="F706" s="4">
        <v>2585220</v>
      </c>
      <c r="G706" s="4">
        <v>2645600</v>
      </c>
      <c r="H706" s="4">
        <v>42600</v>
      </c>
      <c r="I706" s="4">
        <v>0</v>
      </c>
      <c r="J706" s="4">
        <v>0</v>
      </c>
      <c r="K706" s="4">
        <v>852100</v>
      </c>
      <c r="L706" s="4">
        <v>953100</v>
      </c>
      <c r="M706" s="4">
        <f>Tabla1[[#This Row],[BASE DEL DIA]]+Tabla1[[#This Row],[ENTREGAS]]+Tabla1[[#This Row],[TARJETAS]]+Tabla1[[#This Row],[NEQUI O QR]]+Tabla1[[#This Row],[VENTAS FE.CREDITO]]-Tabla1[[#This Row],[VENTAS NETAS]]-Tabla1[[#This Row],[BASE ANTERIOR]]</f>
        <v>1980</v>
      </c>
    </row>
    <row r="707" spans="1:13" ht="13.5" customHeight="1" x14ac:dyDescent="0.2">
      <c r="A707" s="1">
        <v>5969</v>
      </c>
      <c r="B707" s="2">
        <v>45512</v>
      </c>
      <c r="C707" s="3" t="s">
        <v>107</v>
      </c>
      <c r="D707" s="1" t="s">
        <v>18</v>
      </c>
      <c r="E707" s="1" t="s">
        <v>23</v>
      </c>
      <c r="F707" s="4">
        <v>3529580</v>
      </c>
      <c r="G707" s="4">
        <v>3318000</v>
      </c>
      <c r="H707" s="4">
        <v>257980</v>
      </c>
      <c r="I707" s="4">
        <v>0</v>
      </c>
      <c r="J707" s="4">
        <v>3900</v>
      </c>
      <c r="K707" s="4">
        <v>953100</v>
      </c>
      <c r="L707" s="4">
        <v>1001000</v>
      </c>
      <c r="M707" s="4">
        <f>Tabla1[[#This Row],[BASE DEL DIA]]+Tabla1[[#This Row],[ENTREGAS]]+Tabla1[[#This Row],[TARJETAS]]+Tabla1[[#This Row],[NEQUI O QR]]+Tabla1[[#This Row],[VENTAS FE.CREDITO]]-Tabla1[[#This Row],[VENTAS NETAS]]-Tabla1[[#This Row],[BASE ANTERIOR]]</f>
        <v>2400</v>
      </c>
    </row>
    <row r="708" spans="1:13" ht="13.5" customHeight="1" x14ac:dyDescent="0.2">
      <c r="A708" s="1">
        <v>5968</v>
      </c>
      <c r="B708" s="2">
        <v>45512</v>
      </c>
      <c r="C708" s="3" t="s">
        <v>88</v>
      </c>
      <c r="D708" s="1" t="s">
        <v>17</v>
      </c>
      <c r="E708" s="1" t="s">
        <v>22</v>
      </c>
      <c r="F708" s="4">
        <v>2578800</v>
      </c>
      <c r="G708" s="4">
        <v>2337200</v>
      </c>
      <c r="H708" s="4">
        <v>115300</v>
      </c>
      <c r="I708" s="4">
        <v>0</v>
      </c>
      <c r="J708" s="4">
        <v>13600</v>
      </c>
      <c r="K708" s="4">
        <v>1001000</v>
      </c>
      <c r="L708" s="4">
        <v>888100</v>
      </c>
      <c r="M708" s="4">
        <f>Tabla1[[#This Row],[BASE DEL DIA]]+Tabla1[[#This Row],[ENTREGAS]]+Tabla1[[#This Row],[TARJETAS]]+Tabla1[[#This Row],[NEQUI O QR]]+Tabla1[[#This Row],[VENTAS FE.CREDITO]]-Tabla1[[#This Row],[VENTAS NETAS]]-Tabla1[[#This Row],[BASE ANTERIOR]]</f>
        <v>200</v>
      </c>
    </row>
    <row r="709" spans="1:13" ht="13.5" customHeight="1" x14ac:dyDescent="0.2">
      <c r="A709" s="1">
        <v>5967</v>
      </c>
      <c r="B709" s="2">
        <v>45511</v>
      </c>
      <c r="C709" s="3" t="s">
        <v>85</v>
      </c>
      <c r="D709" s="1" t="s">
        <v>17</v>
      </c>
      <c r="E709" s="1" t="s">
        <v>23</v>
      </c>
      <c r="F709" s="4">
        <v>3913250</v>
      </c>
      <c r="G709" s="4">
        <v>3745000</v>
      </c>
      <c r="H709" s="4">
        <v>142200</v>
      </c>
      <c r="I709" s="4">
        <v>0</v>
      </c>
      <c r="J709" s="4">
        <v>9200</v>
      </c>
      <c r="K709" s="4">
        <v>888100</v>
      </c>
      <c r="L709" s="4">
        <v>871600</v>
      </c>
      <c r="M709" s="4">
        <f>Tabla1[[#This Row],[BASE DEL DIA]]+Tabla1[[#This Row],[ENTREGAS]]+Tabla1[[#This Row],[TARJETAS]]+Tabla1[[#This Row],[NEQUI O QR]]+Tabla1[[#This Row],[VENTAS FE.CREDITO]]-Tabla1[[#This Row],[VENTAS NETAS]]-Tabla1[[#This Row],[BASE ANTERIOR]]</f>
        <v>-350</v>
      </c>
    </row>
    <row r="710" spans="1:13" ht="13.5" customHeight="1" x14ac:dyDescent="0.2">
      <c r="A710" s="1">
        <v>5966</v>
      </c>
      <c r="B710" s="2">
        <v>45511</v>
      </c>
      <c r="C710" s="3" t="s">
        <v>87</v>
      </c>
      <c r="D710" s="1" t="s">
        <v>18</v>
      </c>
      <c r="E710" s="1" t="s">
        <v>22</v>
      </c>
      <c r="F710" s="4">
        <v>3002539</v>
      </c>
      <c r="G710" s="4">
        <v>2950000</v>
      </c>
      <c r="H710" s="4">
        <v>179980</v>
      </c>
      <c r="I710" s="4">
        <v>0</v>
      </c>
      <c r="J710" s="4">
        <v>14300</v>
      </c>
      <c r="K710" s="4">
        <v>871600</v>
      </c>
      <c r="L710" s="4">
        <v>1012500</v>
      </c>
      <c r="M710" s="4">
        <f>Tabla1[[#This Row],[BASE DEL DIA]]+Tabla1[[#This Row],[ENTREGAS]]+Tabla1[[#This Row],[TARJETAS]]+Tabla1[[#This Row],[NEQUI O QR]]+Tabla1[[#This Row],[VENTAS FE.CREDITO]]-Tabla1[[#This Row],[VENTAS NETAS]]-Tabla1[[#This Row],[BASE ANTERIOR]]</f>
        <v>841</v>
      </c>
    </row>
    <row r="711" spans="1:13" ht="13.5" customHeight="1" x14ac:dyDescent="0.2">
      <c r="A711" s="1">
        <v>5965</v>
      </c>
      <c r="B711" s="2">
        <v>45510</v>
      </c>
      <c r="C711" s="3" t="s">
        <v>107</v>
      </c>
      <c r="D711" s="1" t="s">
        <v>18</v>
      </c>
      <c r="E711" s="1" t="s">
        <v>23</v>
      </c>
      <c r="F711" s="4">
        <v>3183410</v>
      </c>
      <c r="G711" s="4">
        <v>3003800</v>
      </c>
      <c r="H711" s="4">
        <v>42260</v>
      </c>
      <c r="I711" s="4">
        <v>0</v>
      </c>
      <c r="J711" s="4">
        <v>8400</v>
      </c>
      <c r="K711" s="4">
        <v>1012500</v>
      </c>
      <c r="L711" s="4">
        <v>881100</v>
      </c>
      <c r="M711" s="4">
        <f>Tabla1[[#This Row],[BASE DEL DIA]]+Tabla1[[#This Row],[ENTREGAS]]+Tabla1[[#This Row],[TARJETAS]]+Tabla1[[#This Row],[NEQUI O QR]]+Tabla1[[#This Row],[VENTAS FE.CREDITO]]-Tabla1[[#This Row],[VENTAS NETAS]]-Tabla1[[#This Row],[BASE ANTERIOR]]</f>
        <v>2450</v>
      </c>
    </row>
    <row r="712" spans="1:13" ht="13.5" customHeight="1" x14ac:dyDescent="0.2">
      <c r="A712" s="1">
        <v>5964</v>
      </c>
      <c r="B712" s="2">
        <v>45510</v>
      </c>
      <c r="C712" s="3" t="s">
        <v>88</v>
      </c>
      <c r="D712" s="1" t="s">
        <v>19</v>
      </c>
      <c r="E712" s="1" t="s">
        <v>22</v>
      </c>
      <c r="F712" s="4">
        <v>2258400</v>
      </c>
      <c r="G712" s="4">
        <v>2081000</v>
      </c>
      <c r="H712" s="4">
        <v>91900</v>
      </c>
      <c r="I712" s="4">
        <v>0</v>
      </c>
      <c r="J712" s="4">
        <v>3900</v>
      </c>
      <c r="K712" s="4">
        <v>881100</v>
      </c>
      <c r="L712" s="4">
        <v>796800</v>
      </c>
      <c r="M712" s="4">
        <f>Tabla1[[#This Row],[BASE DEL DIA]]+Tabla1[[#This Row],[ENTREGAS]]+Tabla1[[#This Row],[TARJETAS]]+Tabla1[[#This Row],[NEQUI O QR]]+Tabla1[[#This Row],[VENTAS FE.CREDITO]]-Tabla1[[#This Row],[VENTAS NETAS]]-Tabla1[[#This Row],[BASE ANTERIOR]]</f>
        <v>2700</v>
      </c>
    </row>
    <row r="713" spans="1:13" ht="13.5" customHeight="1" x14ac:dyDescent="0.2">
      <c r="A713" s="1">
        <v>5963</v>
      </c>
      <c r="B713" s="2">
        <v>45509</v>
      </c>
      <c r="C713" s="3" t="s">
        <v>83</v>
      </c>
      <c r="D713" s="1" t="s">
        <v>17</v>
      </c>
      <c r="E713" s="1" t="s">
        <v>23</v>
      </c>
      <c r="F713" s="4">
        <v>4944020</v>
      </c>
      <c r="G713" s="4">
        <v>4750600</v>
      </c>
      <c r="H713" s="4">
        <v>166200</v>
      </c>
      <c r="I713" s="4">
        <v>85800</v>
      </c>
      <c r="J713" s="4">
        <v>8700</v>
      </c>
      <c r="K713" s="4">
        <v>796800</v>
      </c>
      <c r="L713" s="4">
        <v>863350</v>
      </c>
      <c r="M713" s="4">
        <f>Tabla1[[#This Row],[BASE DEL DIA]]+Tabla1[[#This Row],[ENTREGAS]]+Tabla1[[#This Row],[TARJETAS]]+Tabla1[[#This Row],[NEQUI O QR]]+Tabla1[[#This Row],[VENTAS FE.CREDITO]]-Tabla1[[#This Row],[VENTAS NETAS]]-Tabla1[[#This Row],[BASE ANTERIOR]]</f>
        <v>730</v>
      </c>
    </row>
    <row r="714" spans="1:13" ht="13.5" customHeight="1" x14ac:dyDescent="0.2">
      <c r="A714" s="1">
        <v>5962</v>
      </c>
      <c r="B714" s="2">
        <v>45509</v>
      </c>
      <c r="C714" s="3" t="s">
        <v>125</v>
      </c>
      <c r="D714" s="1" t="s">
        <v>18</v>
      </c>
      <c r="E714" s="1" t="s">
        <v>22</v>
      </c>
      <c r="F714" s="4">
        <v>2069410</v>
      </c>
      <c r="G714" s="4">
        <v>2016200</v>
      </c>
      <c r="H714" s="4">
        <v>78120</v>
      </c>
      <c r="I714" s="4">
        <v>21400</v>
      </c>
      <c r="J714" s="4">
        <v>0</v>
      </c>
      <c r="K714" s="4">
        <v>863350</v>
      </c>
      <c r="L714" s="4">
        <v>908500</v>
      </c>
      <c r="M714" s="4">
        <f>Tabla1[[#This Row],[BASE DEL DIA]]+Tabla1[[#This Row],[ENTREGAS]]+Tabla1[[#This Row],[TARJETAS]]+Tabla1[[#This Row],[NEQUI O QR]]+Tabla1[[#This Row],[VENTAS FE.CREDITO]]-Tabla1[[#This Row],[VENTAS NETAS]]-Tabla1[[#This Row],[BASE ANTERIOR]]</f>
        <v>1160</v>
      </c>
    </row>
    <row r="715" spans="1:13" ht="13.5" customHeight="1" x14ac:dyDescent="0.2">
      <c r="A715" s="1">
        <v>5961</v>
      </c>
      <c r="B715" s="2">
        <v>45509</v>
      </c>
      <c r="C715" s="3" t="s">
        <v>146</v>
      </c>
      <c r="D715" s="1" t="s">
        <v>18</v>
      </c>
      <c r="E715" s="1" t="s">
        <v>23</v>
      </c>
      <c r="F715" s="4">
        <v>4054260</v>
      </c>
      <c r="G715" s="4">
        <v>3774600</v>
      </c>
      <c r="H715" s="4">
        <v>328680</v>
      </c>
      <c r="I715" s="4">
        <v>11500</v>
      </c>
      <c r="J715" s="4">
        <v>11600</v>
      </c>
      <c r="K715" s="4">
        <v>908500</v>
      </c>
      <c r="L715" s="4">
        <v>979700</v>
      </c>
      <c r="M715" s="4">
        <f>Tabla1[[#This Row],[BASE DEL DIA]]+Tabla1[[#This Row],[ENTREGAS]]+Tabla1[[#This Row],[TARJETAS]]+Tabla1[[#This Row],[NEQUI O QR]]+Tabla1[[#This Row],[VENTAS FE.CREDITO]]-Tabla1[[#This Row],[VENTAS NETAS]]-Tabla1[[#This Row],[BASE ANTERIOR]]</f>
        <v>920</v>
      </c>
    </row>
    <row r="716" spans="1:13" ht="13.5" customHeight="1" x14ac:dyDescent="0.2">
      <c r="A716" s="1">
        <v>5960</v>
      </c>
      <c r="B716" s="2">
        <v>45508</v>
      </c>
      <c r="C716" s="3" t="s">
        <v>47</v>
      </c>
      <c r="D716" s="1" t="s">
        <v>17</v>
      </c>
      <c r="E716" s="1" t="s">
        <v>22</v>
      </c>
      <c r="F716" s="4">
        <v>5451960</v>
      </c>
      <c r="G716" s="4">
        <v>4487800</v>
      </c>
      <c r="H716" s="4">
        <v>638360</v>
      </c>
      <c r="I716" s="4">
        <v>58900</v>
      </c>
      <c r="J716" s="4">
        <v>126100</v>
      </c>
      <c r="K716" s="4">
        <v>979700</v>
      </c>
      <c r="L716" s="4">
        <v>834900</v>
      </c>
      <c r="M716" s="4">
        <f>Tabla1[[#This Row],[BASE DEL DIA]]+Tabla1[[#This Row],[ENTREGAS]]+Tabla1[[#This Row],[TARJETAS]]+Tabla1[[#This Row],[NEQUI O QR]]+Tabla1[[#This Row],[VENTAS FE.CREDITO]]-Tabla1[[#This Row],[VENTAS NETAS]]-Tabla1[[#This Row],[BASE ANTERIOR]]</f>
        <v>4000</v>
      </c>
    </row>
    <row r="717" spans="1:13" ht="13.5" customHeight="1" x14ac:dyDescent="0.2">
      <c r="A717" s="1">
        <v>5959</v>
      </c>
      <c r="B717" s="2">
        <v>45507</v>
      </c>
      <c r="C717" s="3" t="s">
        <v>110</v>
      </c>
      <c r="D717" s="1" t="s">
        <v>141</v>
      </c>
      <c r="E717" s="1" t="s">
        <v>23</v>
      </c>
      <c r="F717" s="4">
        <v>5811850</v>
      </c>
      <c r="G717" s="4">
        <v>5574600</v>
      </c>
      <c r="H717" s="4">
        <v>363600</v>
      </c>
      <c r="I717" s="4">
        <v>17000</v>
      </c>
      <c r="J717" s="4">
        <v>7000</v>
      </c>
      <c r="K717" s="4">
        <v>834900</v>
      </c>
      <c r="L717" s="4">
        <v>986000</v>
      </c>
      <c r="M717" s="4">
        <f>Tabla1[[#This Row],[BASE DEL DIA]]+Tabla1[[#This Row],[ENTREGAS]]+Tabla1[[#This Row],[TARJETAS]]+Tabla1[[#This Row],[NEQUI O QR]]+Tabla1[[#This Row],[VENTAS FE.CREDITO]]-Tabla1[[#This Row],[VENTAS NETAS]]-Tabla1[[#This Row],[BASE ANTERIOR]]</f>
        <v>-750</v>
      </c>
    </row>
    <row r="718" spans="1:13" ht="13.5" customHeight="1" x14ac:dyDescent="0.2">
      <c r="A718" s="1">
        <v>5958</v>
      </c>
      <c r="B718" s="2">
        <v>45507</v>
      </c>
      <c r="C718" s="3" t="s">
        <v>87</v>
      </c>
      <c r="D718" s="1" t="s">
        <v>18</v>
      </c>
      <c r="E718" s="1" t="s">
        <v>22</v>
      </c>
      <c r="F718" s="4">
        <v>3589500</v>
      </c>
      <c r="G718" s="4">
        <v>3099300</v>
      </c>
      <c r="H718" s="4">
        <v>340520</v>
      </c>
      <c r="I718" s="4">
        <v>53700</v>
      </c>
      <c r="J718" s="4">
        <v>16100</v>
      </c>
      <c r="K718" s="4">
        <v>986000</v>
      </c>
      <c r="L718" s="4">
        <v>905800</v>
      </c>
      <c r="M718" s="4">
        <f>Tabla1[[#This Row],[BASE DEL DIA]]+Tabla1[[#This Row],[ENTREGAS]]+Tabla1[[#This Row],[TARJETAS]]+Tabla1[[#This Row],[NEQUI O QR]]+Tabla1[[#This Row],[VENTAS FE.CREDITO]]-Tabla1[[#This Row],[VENTAS NETAS]]-Tabla1[[#This Row],[BASE ANTERIOR]]</f>
        <v>320</v>
      </c>
    </row>
    <row r="719" spans="1:13" ht="13.5" customHeight="1" x14ac:dyDescent="0.2">
      <c r="A719" s="1">
        <v>5957</v>
      </c>
      <c r="B719" s="2">
        <v>45506</v>
      </c>
      <c r="C719" s="3" t="s">
        <v>96</v>
      </c>
      <c r="D719" s="1" t="s">
        <v>18</v>
      </c>
      <c r="E719" s="1" t="s">
        <v>23</v>
      </c>
      <c r="F719" s="4">
        <v>4416360</v>
      </c>
      <c r="G719" s="4">
        <v>4019100</v>
      </c>
      <c r="H719" s="4">
        <v>431580</v>
      </c>
      <c r="I719" s="4">
        <v>21800</v>
      </c>
      <c r="J719" s="4">
        <v>3500</v>
      </c>
      <c r="K719" s="4">
        <v>905800</v>
      </c>
      <c r="L719" s="4">
        <v>962850</v>
      </c>
      <c r="M719" s="4">
        <f>Tabla1[[#This Row],[BASE DEL DIA]]+Tabla1[[#This Row],[ENTREGAS]]+Tabla1[[#This Row],[TARJETAS]]+Tabla1[[#This Row],[NEQUI O QR]]+Tabla1[[#This Row],[VENTAS FE.CREDITO]]-Tabla1[[#This Row],[VENTAS NETAS]]-Tabla1[[#This Row],[BASE ANTERIOR]]</f>
        <v>2570</v>
      </c>
    </row>
    <row r="720" spans="1:13" ht="13.5" customHeight="1" x14ac:dyDescent="0.2">
      <c r="A720" s="1">
        <v>5956</v>
      </c>
      <c r="B720" s="2">
        <v>45506</v>
      </c>
      <c r="C720" s="3" t="s">
        <v>104</v>
      </c>
      <c r="D720" s="1" t="s">
        <v>17</v>
      </c>
      <c r="E720" s="1" t="s">
        <v>22</v>
      </c>
      <c r="F720" s="4">
        <v>3315000</v>
      </c>
      <c r="G720" s="4">
        <v>2949000</v>
      </c>
      <c r="H720" s="4">
        <v>286400</v>
      </c>
      <c r="I720" s="4">
        <v>5500</v>
      </c>
      <c r="J720" s="4">
        <v>4900</v>
      </c>
      <c r="K720" s="4">
        <v>962850</v>
      </c>
      <c r="L720" s="4">
        <v>893900</v>
      </c>
      <c r="M720" s="4">
        <f>Tabla1[[#This Row],[BASE DEL DIA]]+Tabla1[[#This Row],[ENTREGAS]]+Tabla1[[#This Row],[TARJETAS]]+Tabla1[[#This Row],[NEQUI O QR]]+Tabla1[[#This Row],[VENTAS FE.CREDITO]]-Tabla1[[#This Row],[VENTAS NETAS]]-Tabla1[[#This Row],[BASE ANTERIOR]]</f>
        <v>-250</v>
      </c>
    </row>
    <row r="721" spans="1:13" ht="13.5" customHeight="1" x14ac:dyDescent="0.2">
      <c r="A721" s="1">
        <v>5955</v>
      </c>
      <c r="B721" s="2">
        <v>45505</v>
      </c>
      <c r="C721" s="3" t="s">
        <v>83</v>
      </c>
      <c r="D721" s="1" t="s">
        <v>17</v>
      </c>
      <c r="E721" s="1" t="s">
        <v>23</v>
      </c>
      <c r="F721" s="4">
        <v>4908800</v>
      </c>
      <c r="G721" s="4">
        <v>4340000</v>
      </c>
      <c r="H721" s="4">
        <v>465100</v>
      </c>
      <c r="I721" s="4">
        <v>32400</v>
      </c>
      <c r="J721" s="4">
        <v>74500</v>
      </c>
      <c r="K721" s="4">
        <v>893900</v>
      </c>
      <c r="L721" s="4">
        <v>881350</v>
      </c>
      <c r="M721" s="4">
        <f>Tabla1[[#This Row],[BASE DEL DIA]]+Tabla1[[#This Row],[ENTREGAS]]+Tabla1[[#This Row],[TARJETAS]]+Tabla1[[#This Row],[NEQUI O QR]]+Tabla1[[#This Row],[VENTAS FE.CREDITO]]-Tabla1[[#This Row],[VENTAS NETAS]]-Tabla1[[#This Row],[BASE ANTERIOR]]</f>
        <v>15750</v>
      </c>
    </row>
    <row r="722" spans="1:13" ht="13.5" customHeight="1" x14ac:dyDescent="0.2">
      <c r="A722" s="1">
        <v>5954</v>
      </c>
      <c r="B722" s="2">
        <v>45505</v>
      </c>
      <c r="C722" s="3" t="s">
        <v>67</v>
      </c>
      <c r="D722" s="1" t="s">
        <v>19</v>
      </c>
      <c r="E722" s="1" t="s">
        <v>22</v>
      </c>
      <c r="F722" s="4">
        <v>3116400</v>
      </c>
      <c r="G722" s="4">
        <v>3005000</v>
      </c>
      <c r="H722" s="4">
        <v>133700</v>
      </c>
      <c r="I722" s="4">
        <v>3100</v>
      </c>
      <c r="J722" s="4">
        <v>0</v>
      </c>
      <c r="K722" s="4">
        <v>881350</v>
      </c>
      <c r="L722" s="4">
        <v>908600</v>
      </c>
      <c r="M722" s="4">
        <f>Tabla1[[#This Row],[BASE DEL DIA]]+Tabla1[[#This Row],[ENTREGAS]]+Tabla1[[#This Row],[TARJETAS]]+Tabla1[[#This Row],[NEQUI O QR]]+Tabla1[[#This Row],[VENTAS FE.CREDITO]]-Tabla1[[#This Row],[VENTAS NETAS]]-Tabla1[[#This Row],[BASE ANTERIOR]]</f>
        <v>-1850</v>
      </c>
    </row>
    <row r="723" spans="1:13" ht="13.5" customHeight="1" x14ac:dyDescent="0.2">
      <c r="A723" s="1">
        <v>5953</v>
      </c>
      <c r="B723" s="2">
        <v>45504</v>
      </c>
      <c r="C723" s="3" t="s">
        <v>85</v>
      </c>
      <c r="D723" s="1" t="s">
        <v>18</v>
      </c>
      <c r="E723" s="1" t="s">
        <v>23</v>
      </c>
      <c r="F723" s="4">
        <v>5567480</v>
      </c>
      <c r="G723" s="4">
        <v>5003000</v>
      </c>
      <c r="H723" s="4">
        <v>556780</v>
      </c>
      <c r="I723" s="4">
        <v>0</v>
      </c>
      <c r="J723" s="4">
        <v>6600</v>
      </c>
      <c r="K723" s="4">
        <v>908600</v>
      </c>
      <c r="L723" s="4">
        <v>903150</v>
      </c>
      <c r="M723" s="4">
        <f>Tabla1[[#This Row],[BASE DEL DIA]]+Tabla1[[#This Row],[ENTREGAS]]+Tabla1[[#This Row],[TARJETAS]]+Tabla1[[#This Row],[NEQUI O QR]]+Tabla1[[#This Row],[VENTAS FE.CREDITO]]-Tabla1[[#This Row],[VENTAS NETAS]]-Tabla1[[#This Row],[BASE ANTERIOR]]</f>
        <v>4350</v>
      </c>
    </row>
    <row r="724" spans="1:13" ht="13.5" customHeight="1" x14ac:dyDescent="0.2">
      <c r="A724" s="1">
        <v>5952</v>
      </c>
      <c r="B724" s="2">
        <v>45504</v>
      </c>
      <c r="C724" s="3" t="s">
        <v>145</v>
      </c>
      <c r="D724" s="1" t="s">
        <v>17</v>
      </c>
      <c r="E724" s="1" t="s">
        <v>22</v>
      </c>
      <c r="F724" s="4">
        <v>3562350</v>
      </c>
      <c r="G724" s="4">
        <v>2835700</v>
      </c>
      <c r="H724" s="4">
        <v>613200</v>
      </c>
      <c r="I724" s="4">
        <v>17700</v>
      </c>
      <c r="J724" s="4">
        <v>6200</v>
      </c>
      <c r="K724" s="4">
        <v>903150</v>
      </c>
      <c r="L724" s="4">
        <v>824150</v>
      </c>
      <c r="M724" s="4">
        <f>Tabla1[[#This Row],[BASE DEL DIA]]+Tabla1[[#This Row],[ENTREGAS]]+Tabla1[[#This Row],[TARJETAS]]+Tabla1[[#This Row],[NEQUI O QR]]+Tabla1[[#This Row],[VENTAS FE.CREDITO]]-Tabla1[[#This Row],[VENTAS NETAS]]-Tabla1[[#This Row],[BASE ANTERIOR]]</f>
        <v>-10550</v>
      </c>
    </row>
    <row r="725" spans="1:13" ht="13.5" customHeight="1" x14ac:dyDescent="0.2">
      <c r="A725" s="1">
        <v>5951</v>
      </c>
      <c r="B725" s="2">
        <v>45503</v>
      </c>
      <c r="C725" s="3" t="s">
        <v>83</v>
      </c>
      <c r="D725" s="1" t="s">
        <v>17</v>
      </c>
      <c r="E725" s="1" t="s">
        <v>23</v>
      </c>
      <c r="F725" s="4">
        <v>4723800</v>
      </c>
      <c r="G725" s="4">
        <v>4054400</v>
      </c>
      <c r="H725" s="4">
        <v>704100</v>
      </c>
      <c r="I725" s="4">
        <v>0</v>
      </c>
      <c r="J725" s="4">
        <v>9500</v>
      </c>
      <c r="K725" s="4">
        <v>824150</v>
      </c>
      <c r="L725" s="4">
        <v>868750</v>
      </c>
      <c r="M725" s="4">
        <f>Tabla1[[#This Row],[BASE DEL DIA]]+Tabla1[[#This Row],[ENTREGAS]]+Tabla1[[#This Row],[TARJETAS]]+Tabla1[[#This Row],[NEQUI O QR]]+Tabla1[[#This Row],[VENTAS FE.CREDITO]]-Tabla1[[#This Row],[VENTAS NETAS]]-Tabla1[[#This Row],[BASE ANTERIOR]]</f>
        <v>-400</v>
      </c>
    </row>
    <row r="726" spans="1:13" ht="13.5" customHeight="1" x14ac:dyDescent="0.2">
      <c r="A726" s="1">
        <v>5950</v>
      </c>
      <c r="B726" s="2">
        <v>45503</v>
      </c>
      <c r="C726" s="3" t="s">
        <v>87</v>
      </c>
      <c r="D726" s="1" t="s">
        <v>18</v>
      </c>
      <c r="E726" s="1" t="s">
        <v>22</v>
      </c>
      <c r="F726" s="4">
        <v>2672120</v>
      </c>
      <c r="G726" s="4">
        <v>2483500</v>
      </c>
      <c r="H726" s="4">
        <v>186500</v>
      </c>
      <c r="I726" s="4">
        <v>0</v>
      </c>
      <c r="J726" s="4">
        <v>19500</v>
      </c>
      <c r="K726" s="4">
        <v>868750</v>
      </c>
      <c r="L726" s="4">
        <v>890750</v>
      </c>
      <c r="M726" s="4">
        <f>Tabla1[[#This Row],[BASE DEL DIA]]+Tabla1[[#This Row],[ENTREGAS]]+Tabla1[[#This Row],[TARJETAS]]+Tabla1[[#This Row],[NEQUI O QR]]+Tabla1[[#This Row],[VENTAS FE.CREDITO]]-Tabla1[[#This Row],[VENTAS NETAS]]-Tabla1[[#This Row],[BASE ANTERIOR]]</f>
        <v>-4620</v>
      </c>
    </row>
    <row r="727" spans="1:13" ht="13.5" customHeight="1" x14ac:dyDescent="0.2">
      <c r="A727" s="1">
        <v>5949</v>
      </c>
      <c r="B727" s="2">
        <v>45502</v>
      </c>
      <c r="C727" s="3" t="s">
        <v>107</v>
      </c>
      <c r="D727" s="1" t="s">
        <v>18</v>
      </c>
      <c r="E727" s="1" t="s">
        <v>23</v>
      </c>
      <c r="F727" s="4">
        <v>3284630</v>
      </c>
      <c r="G727" s="4">
        <v>3087000</v>
      </c>
      <c r="H727" s="4">
        <v>255680</v>
      </c>
      <c r="I727" s="4">
        <v>7200</v>
      </c>
      <c r="J727" s="4">
        <v>23560</v>
      </c>
      <c r="K727" s="4">
        <v>890750</v>
      </c>
      <c r="L727" s="4">
        <v>977100</v>
      </c>
      <c r="M727" s="4">
        <f>Tabla1[[#This Row],[BASE DEL DIA]]+Tabla1[[#This Row],[ENTREGAS]]+Tabla1[[#This Row],[TARJETAS]]+Tabla1[[#This Row],[NEQUI O QR]]+Tabla1[[#This Row],[VENTAS FE.CREDITO]]-Tabla1[[#This Row],[VENTAS NETAS]]-Tabla1[[#This Row],[BASE ANTERIOR]]</f>
        <v>2460</v>
      </c>
    </row>
    <row r="728" spans="1:13" ht="13.5" customHeight="1" x14ac:dyDescent="0.2">
      <c r="A728" s="1">
        <v>5948</v>
      </c>
      <c r="B728" s="2">
        <v>45502</v>
      </c>
      <c r="C728" s="3" t="s">
        <v>144</v>
      </c>
      <c r="D728" s="1" t="s">
        <v>17</v>
      </c>
      <c r="E728" s="1" t="s">
        <v>22</v>
      </c>
      <c r="F728" s="4">
        <v>2225660</v>
      </c>
      <c r="G728" s="4">
        <v>1810200</v>
      </c>
      <c r="H728" s="4">
        <v>78900</v>
      </c>
      <c r="I728" s="4">
        <v>211200</v>
      </c>
      <c r="J728" s="4">
        <v>6700</v>
      </c>
      <c r="K728" s="4">
        <v>977100</v>
      </c>
      <c r="L728" s="4">
        <v>857700</v>
      </c>
      <c r="M728" s="4">
        <f>Tabla1[[#This Row],[BASE DEL DIA]]+Tabla1[[#This Row],[ENTREGAS]]+Tabla1[[#This Row],[TARJETAS]]+Tabla1[[#This Row],[NEQUI O QR]]+Tabla1[[#This Row],[VENTAS FE.CREDITO]]-Tabla1[[#This Row],[VENTAS NETAS]]-Tabla1[[#This Row],[BASE ANTERIOR]]</f>
        <v>740</v>
      </c>
    </row>
    <row r="729" spans="1:13" ht="13.5" customHeight="1" x14ac:dyDescent="0.2">
      <c r="A729" s="1">
        <v>5947</v>
      </c>
      <c r="B729" s="2">
        <v>45501</v>
      </c>
      <c r="C729" s="3" t="s">
        <v>130</v>
      </c>
      <c r="D729" s="1" t="s">
        <v>17</v>
      </c>
      <c r="E729" s="1" t="s">
        <v>23</v>
      </c>
      <c r="F729" s="4">
        <v>4874800</v>
      </c>
      <c r="G729" s="4">
        <v>4520000</v>
      </c>
      <c r="H729" s="4">
        <v>307500</v>
      </c>
      <c r="I729" s="4">
        <v>0</v>
      </c>
      <c r="J729" s="4">
        <v>4700</v>
      </c>
      <c r="K729" s="4">
        <v>857700</v>
      </c>
      <c r="L729" s="4">
        <v>814300</v>
      </c>
      <c r="M729" s="4">
        <f>Tabla1[[#This Row],[BASE DEL DIA]]+Tabla1[[#This Row],[ENTREGAS]]+Tabla1[[#This Row],[TARJETAS]]+Tabla1[[#This Row],[NEQUI O QR]]+Tabla1[[#This Row],[VENTAS FE.CREDITO]]-Tabla1[[#This Row],[VENTAS NETAS]]-Tabla1[[#This Row],[BASE ANTERIOR]]</f>
        <v>800</v>
      </c>
    </row>
    <row r="730" spans="1:13" ht="13.5" customHeight="1" x14ac:dyDescent="0.2">
      <c r="A730" s="1">
        <v>5946</v>
      </c>
      <c r="B730" s="2">
        <v>45501</v>
      </c>
      <c r="C730" s="3" t="s">
        <v>125</v>
      </c>
      <c r="D730" s="1" t="s">
        <v>18</v>
      </c>
      <c r="E730" s="1" t="s">
        <v>22</v>
      </c>
      <c r="F730" s="4">
        <v>4382260</v>
      </c>
      <c r="G730" s="4">
        <v>4194400</v>
      </c>
      <c r="H730" s="4">
        <v>177120</v>
      </c>
      <c r="I730" s="4">
        <v>0</v>
      </c>
      <c r="J730" s="4">
        <v>8200</v>
      </c>
      <c r="K730" s="4">
        <v>814300</v>
      </c>
      <c r="L730" s="4">
        <v>809150</v>
      </c>
      <c r="M730" s="4">
        <f>Tabla1[[#This Row],[BASE DEL DIA]]+Tabla1[[#This Row],[ENTREGAS]]+Tabla1[[#This Row],[TARJETAS]]+Tabla1[[#This Row],[NEQUI O QR]]+Tabla1[[#This Row],[VENTAS FE.CREDITO]]-Tabla1[[#This Row],[VENTAS NETAS]]-Tabla1[[#This Row],[BASE ANTERIOR]]</f>
        <v>2610</v>
      </c>
    </row>
    <row r="731" spans="1:13" ht="13.5" customHeight="1" x14ac:dyDescent="0.2">
      <c r="A731" s="1">
        <v>5945</v>
      </c>
      <c r="B731" s="2">
        <v>45500</v>
      </c>
      <c r="C731" s="3" t="s">
        <v>85</v>
      </c>
      <c r="D731" s="1" t="s">
        <v>17</v>
      </c>
      <c r="E731" s="1" t="s">
        <v>23</v>
      </c>
      <c r="F731" s="4">
        <v>3762400</v>
      </c>
      <c r="G731" s="4">
        <v>3691750</v>
      </c>
      <c r="H731" s="4">
        <v>125200</v>
      </c>
      <c r="I731" s="4">
        <v>0</v>
      </c>
      <c r="J731" s="4">
        <v>6600</v>
      </c>
      <c r="K731" s="4">
        <v>809150</v>
      </c>
      <c r="L731" s="4">
        <v>870150</v>
      </c>
      <c r="M731" s="4">
        <f>Tabla1[[#This Row],[BASE DEL DIA]]+Tabla1[[#This Row],[ENTREGAS]]+Tabla1[[#This Row],[TARJETAS]]+Tabla1[[#This Row],[NEQUI O QR]]+Tabla1[[#This Row],[VENTAS FE.CREDITO]]-Tabla1[[#This Row],[VENTAS NETAS]]-Tabla1[[#This Row],[BASE ANTERIOR]]</f>
        <v>150</v>
      </c>
    </row>
    <row r="732" spans="1:13" ht="13.5" customHeight="1" x14ac:dyDescent="0.2">
      <c r="A732" s="1">
        <v>5944</v>
      </c>
      <c r="B732" s="2">
        <v>45500</v>
      </c>
      <c r="C732" s="3" t="s">
        <v>143</v>
      </c>
      <c r="D732" s="1" t="s">
        <v>19</v>
      </c>
      <c r="E732" s="1" t="s">
        <v>22</v>
      </c>
      <c r="F732" s="4">
        <v>2759900</v>
      </c>
      <c r="G732" s="4">
        <v>2332000</v>
      </c>
      <c r="H732" s="4">
        <v>196500</v>
      </c>
      <c r="I732" s="4">
        <v>3800</v>
      </c>
      <c r="J732" s="4">
        <v>240000</v>
      </c>
      <c r="K732" s="4">
        <v>870150</v>
      </c>
      <c r="L732" s="4">
        <v>885150</v>
      </c>
      <c r="M732" s="4">
        <f>Tabla1[[#This Row],[BASE DEL DIA]]+Tabla1[[#This Row],[ENTREGAS]]+Tabla1[[#This Row],[TARJETAS]]+Tabla1[[#This Row],[NEQUI O QR]]+Tabla1[[#This Row],[VENTAS FE.CREDITO]]-Tabla1[[#This Row],[VENTAS NETAS]]-Tabla1[[#This Row],[BASE ANTERIOR]]</f>
        <v>-2600</v>
      </c>
    </row>
    <row r="733" spans="1:13" ht="13.5" customHeight="1" x14ac:dyDescent="0.2">
      <c r="B733" s="2">
        <v>45499</v>
      </c>
      <c r="C733" s="3" t="s">
        <v>54</v>
      </c>
      <c r="D733" s="1" t="s">
        <v>17</v>
      </c>
      <c r="E733" s="1" t="s">
        <v>23</v>
      </c>
      <c r="F733" s="4">
        <v>3829150</v>
      </c>
      <c r="G733" s="4">
        <v>3623100</v>
      </c>
      <c r="H733" s="4">
        <v>157300</v>
      </c>
      <c r="I733" s="4">
        <v>66100</v>
      </c>
      <c r="J733" s="4">
        <v>7200</v>
      </c>
      <c r="K733" s="4">
        <v>885150</v>
      </c>
      <c r="L733" s="4">
        <v>909950</v>
      </c>
      <c r="M733" s="4">
        <f>Tabla1[[#This Row],[BASE DEL DIA]]+Tabla1[[#This Row],[ENTREGAS]]+Tabla1[[#This Row],[TARJETAS]]+Tabla1[[#This Row],[NEQUI O QR]]+Tabla1[[#This Row],[VENTAS FE.CREDITO]]-Tabla1[[#This Row],[VENTAS NETAS]]-Tabla1[[#This Row],[BASE ANTERIOR]]</f>
        <v>-250</v>
      </c>
    </row>
    <row r="734" spans="1:13" ht="13.5" customHeight="1" x14ac:dyDescent="0.2">
      <c r="A734" s="1">
        <v>5942</v>
      </c>
      <c r="B734" s="2">
        <v>45499</v>
      </c>
      <c r="C734" s="3" t="s">
        <v>88</v>
      </c>
      <c r="D734" s="1" t="s">
        <v>18</v>
      </c>
      <c r="E734" s="1" t="s">
        <v>22</v>
      </c>
      <c r="F734" s="4">
        <v>1678460</v>
      </c>
      <c r="G734" s="4">
        <v>1722700</v>
      </c>
      <c r="H734" s="4">
        <v>48200</v>
      </c>
      <c r="I734" s="4">
        <v>0</v>
      </c>
      <c r="J734" s="4">
        <v>0</v>
      </c>
      <c r="K734" s="4">
        <v>909950</v>
      </c>
      <c r="L734" s="4">
        <v>1002550</v>
      </c>
      <c r="M734" s="4">
        <f>Tabla1[[#This Row],[BASE DEL DIA]]+Tabla1[[#This Row],[ENTREGAS]]+Tabla1[[#This Row],[TARJETAS]]+Tabla1[[#This Row],[NEQUI O QR]]+Tabla1[[#This Row],[VENTAS FE.CREDITO]]-Tabla1[[#This Row],[VENTAS NETAS]]-Tabla1[[#This Row],[BASE ANTERIOR]]</f>
        <v>-160</v>
      </c>
    </row>
    <row r="735" spans="1:13" ht="13.5" customHeight="1" x14ac:dyDescent="0.2">
      <c r="A735" s="1">
        <v>5941</v>
      </c>
      <c r="B735" s="2">
        <v>45498</v>
      </c>
      <c r="C735" s="3" t="s">
        <v>106</v>
      </c>
      <c r="D735" s="1" t="s">
        <v>18</v>
      </c>
      <c r="E735" s="1" t="s">
        <v>23</v>
      </c>
      <c r="F735" s="4">
        <v>3368840</v>
      </c>
      <c r="G735" s="4">
        <v>3100200</v>
      </c>
      <c r="H735" s="4">
        <v>137100</v>
      </c>
      <c r="I735" s="4">
        <v>46500</v>
      </c>
      <c r="J735" s="4">
        <v>4900</v>
      </c>
      <c r="K735" s="4">
        <v>1002550</v>
      </c>
      <c r="L735" s="4">
        <v>920300</v>
      </c>
      <c r="M735" s="4">
        <f>Tabla1[[#This Row],[BASE DEL DIA]]+Tabla1[[#This Row],[ENTREGAS]]+Tabla1[[#This Row],[TARJETAS]]+Tabla1[[#This Row],[NEQUI O QR]]+Tabla1[[#This Row],[VENTAS FE.CREDITO]]-Tabla1[[#This Row],[VENTAS NETAS]]-Tabla1[[#This Row],[BASE ANTERIOR]]</f>
        <v>2110</v>
      </c>
    </row>
    <row r="736" spans="1:13" ht="13.5" customHeight="1" x14ac:dyDescent="0.2">
      <c r="A736" s="1">
        <v>5940</v>
      </c>
      <c r="B736" s="2">
        <v>45498</v>
      </c>
      <c r="C736" s="3" t="s">
        <v>88</v>
      </c>
      <c r="D736" s="1" t="s">
        <v>17</v>
      </c>
      <c r="E736" s="1" t="s">
        <v>22</v>
      </c>
      <c r="F736" s="4">
        <v>2364550</v>
      </c>
      <c r="G736" s="4">
        <v>2273500</v>
      </c>
      <c r="H736" s="4">
        <v>20800</v>
      </c>
      <c r="I736" s="4">
        <v>0</v>
      </c>
      <c r="J736" s="4">
        <v>1300</v>
      </c>
      <c r="K736" s="4">
        <v>920300</v>
      </c>
      <c r="L736" s="4">
        <v>850150</v>
      </c>
      <c r="M736" s="4">
        <f>Tabla1[[#This Row],[BASE DEL DIA]]+Tabla1[[#This Row],[ENTREGAS]]+Tabla1[[#This Row],[TARJETAS]]+Tabla1[[#This Row],[NEQUI O QR]]+Tabla1[[#This Row],[VENTAS FE.CREDITO]]-Tabla1[[#This Row],[VENTAS NETAS]]-Tabla1[[#This Row],[BASE ANTERIOR]]</f>
        <v>1200</v>
      </c>
    </row>
    <row r="737" spans="1:13" ht="13.5" customHeight="1" x14ac:dyDescent="0.2">
      <c r="B737" s="2">
        <v>45497</v>
      </c>
      <c r="C737" s="3" t="s">
        <v>72</v>
      </c>
      <c r="D737" s="1" t="s">
        <v>17</v>
      </c>
      <c r="E737" s="1" t="s">
        <v>23</v>
      </c>
      <c r="M737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738" spans="1:13" ht="13.5" customHeight="1" x14ac:dyDescent="0.2">
      <c r="A738" s="1">
        <v>5939</v>
      </c>
      <c r="B738" s="2">
        <v>45497</v>
      </c>
      <c r="C738" s="3" t="s">
        <v>40</v>
      </c>
      <c r="D738" s="1" t="s">
        <v>17</v>
      </c>
      <c r="E738" s="1" t="s">
        <v>23</v>
      </c>
      <c r="F738" s="4">
        <v>3700450</v>
      </c>
      <c r="G738" s="4">
        <v>3614200</v>
      </c>
      <c r="H738" s="4">
        <v>136800</v>
      </c>
      <c r="I738" s="4">
        <v>0</v>
      </c>
      <c r="J738" s="4">
        <v>10500</v>
      </c>
      <c r="K738" s="4">
        <v>850150</v>
      </c>
      <c r="L738" s="4">
        <v>916800</v>
      </c>
      <c r="M738" s="4">
        <f>Tabla1[[#This Row],[BASE DEL DIA]]+Tabla1[[#This Row],[ENTREGAS]]+Tabla1[[#This Row],[TARJETAS]]+Tabla1[[#This Row],[NEQUI O QR]]+Tabla1[[#This Row],[VENTAS FE.CREDITO]]-Tabla1[[#This Row],[VENTAS NETAS]]-Tabla1[[#This Row],[BASE ANTERIOR]]</f>
        <v>-5600</v>
      </c>
    </row>
    <row r="739" spans="1:13" ht="13.5" customHeight="1" x14ac:dyDescent="0.2">
      <c r="A739" s="1">
        <v>5938</v>
      </c>
      <c r="B739" s="2">
        <v>45497</v>
      </c>
      <c r="C739" s="3" t="s">
        <v>142</v>
      </c>
      <c r="D739" s="1" t="s">
        <v>18</v>
      </c>
      <c r="E739" s="1" t="s">
        <v>22</v>
      </c>
      <c r="F739" s="4">
        <v>3060620</v>
      </c>
      <c r="G739" s="4">
        <v>2877650</v>
      </c>
      <c r="H739" s="4">
        <v>146860</v>
      </c>
      <c r="I739" s="4">
        <v>31400</v>
      </c>
      <c r="J739" s="4">
        <v>2200</v>
      </c>
      <c r="K739" s="4">
        <v>916800</v>
      </c>
      <c r="L739" s="4">
        <v>912400</v>
      </c>
      <c r="M739" s="4">
        <f>Tabla1[[#This Row],[BASE DEL DIA]]+Tabla1[[#This Row],[ENTREGAS]]+Tabla1[[#This Row],[TARJETAS]]+Tabla1[[#This Row],[NEQUI O QR]]+Tabla1[[#This Row],[VENTAS FE.CREDITO]]-Tabla1[[#This Row],[VENTAS NETAS]]-Tabla1[[#This Row],[BASE ANTERIOR]]</f>
        <v>1890</v>
      </c>
    </row>
    <row r="740" spans="1:13" ht="13.5" customHeight="1" x14ac:dyDescent="0.2">
      <c r="A740" s="1">
        <v>5937</v>
      </c>
      <c r="B740" s="2">
        <v>45496</v>
      </c>
      <c r="C740" s="3" t="s">
        <v>107</v>
      </c>
      <c r="D740" s="1" t="s">
        <v>18</v>
      </c>
      <c r="E740" s="1" t="s">
        <v>23</v>
      </c>
      <c r="F740" s="4">
        <v>3779300</v>
      </c>
      <c r="G740" s="4">
        <v>3714500</v>
      </c>
      <c r="H740" s="4">
        <v>69420</v>
      </c>
      <c r="I740" s="4">
        <v>0</v>
      </c>
      <c r="J740" s="4">
        <v>6600</v>
      </c>
      <c r="K740" s="4">
        <v>912400</v>
      </c>
      <c r="L740" s="4">
        <v>921450</v>
      </c>
      <c r="M740" s="4">
        <f>Tabla1[[#This Row],[BASE DEL DIA]]+Tabla1[[#This Row],[ENTREGAS]]+Tabla1[[#This Row],[TARJETAS]]+Tabla1[[#This Row],[NEQUI O QR]]+Tabla1[[#This Row],[VENTAS FE.CREDITO]]-Tabla1[[#This Row],[VENTAS NETAS]]-Tabla1[[#This Row],[BASE ANTERIOR]]</f>
        <v>2170</v>
      </c>
    </row>
    <row r="741" spans="1:13" ht="13.5" customHeight="1" x14ac:dyDescent="0.2">
      <c r="A741" s="1">
        <v>5936</v>
      </c>
      <c r="B741" s="2">
        <v>45496</v>
      </c>
      <c r="C741" s="3" t="s">
        <v>68</v>
      </c>
      <c r="D741" s="1" t="s">
        <v>19</v>
      </c>
      <c r="E741" s="1" t="s">
        <v>22</v>
      </c>
      <c r="F741" s="4">
        <v>2477200</v>
      </c>
      <c r="G741" s="4">
        <v>2302500</v>
      </c>
      <c r="H741" s="4">
        <v>122100</v>
      </c>
      <c r="I741" s="4">
        <v>0</v>
      </c>
      <c r="J741" s="4">
        <v>3200</v>
      </c>
      <c r="K741" s="4">
        <v>921450</v>
      </c>
      <c r="L741" s="4">
        <v>866650</v>
      </c>
      <c r="M741" s="4">
        <f>Tabla1[[#This Row],[BASE DEL DIA]]+Tabla1[[#This Row],[ENTREGAS]]+Tabla1[[#This Row],[TARJETAS]]+Tabla1[[#This Row],[NEQUI O QR]]+Tabla1[[#This Row],[VENTAS FE.CREDITO]]-Tabla1[[#This Row],[VENTAS NETAS]]-Tabla1[[#This Row],[BASE ANTERIOR]]</f>
        <v>5400</v>
      </c>
    </row>
    <row r="742" spans="1:13" ht="13.5" customHeight="1" x14ac:dyDescent="0.2">
      <c r="A742" s="1">
        <v>5935</v>
      </c>
      <c r="B742" s="2">
        <v>45495</v>
      </c>
      <c r="C742" s="3" t="s">
        <v>40</v>
      </c>
      <c r="D742" s="1" t="s">
        <v>141</v>
      </c>
      <c r="E742" s="1" t="s">
        <v>22</v>
      </c>
      <c r="F742" s="4">
        <v>3990750</v>
      </c>
      <c r="G742" s="4">
        <v>3720000</v>
      </c>
      <c r="H742" s="4">
        <v>249900</v>
      </c>
      <c r="I742" s="4">
        <v>0</v>
      </c>
      <c r="J742" s="4">
        <v>11400</v>
      </c>
      <c r="K742" s="4">
        <v>866650</v>
      </c>
      <c r="L742" s="4">
        <v>861200</v>
      </c>
      <c r="M742" s="4">
        <f>Tabla1[[#This Row],[BASE DEL DIA]]+Tabla1[[#This Row],[ENTREGAS]]+Tabla1[[#This Row],[TARJETAS]]+Tabla1[[#This Row],[NEQUI O QR]]+Tabla1[[#This Row],[VENTAS FE.CREDITO]]-Tabla1[[#This Row],[VENTAS NETAS]]-Tabla1[[#This Row],[BASE ANTERIOR]]</f>
        <v>-4000</v>
      </c>
    </row>
    <row r="743" spans="1:13" ht="13.5" customHeight="1" x14ac:dyDescent="0.2">
      <c r="A743" s="1">
        <v>5934</v>
      </c>
      <c r="B743" s="2">
        <v>45495</v>
      </c>
      <c r="C743" s="3" t="s">
        <v>39</v>
      </c>
      <c r="D743" s="1" t="s">
        <v>18</v>
      </c>
      <c r="E743" s="1" t="s">
        <v>22</v>
      </c>
      <c r="F743" s="4">
        <v>2306620</v>
      </c>
      <c r="G743" s="4">
        <v>2320000</v>
      </c>
      <c r="H743" s="4">
        <v>29000</v>
      </c>
      <c r="I743" s="4">
        <v>12800</v>
      </c>
      <c r="J743" s="4">
        <v>0</v>
      </c>
      <c r="K743" s="4">
        <v>861200</v>
      </c>
      <c r="L743" s="4">
        <v>914300</v>
      </c>
      <c r="M743" s="4">
        <f>Tabla1[[#This Row],[BASE DEL DIA]]+Tabla1[[#This Row],[ENTREGAS]]+Tabla1[[#This Row],[TARJETAS]]+Tabla1[[#This Row],[NEQUI O QR]]+Tabla1[[#This Row],[VENTAS FE.CREDITO]]-Tabla1[[#This Row],[VENTAS NETAS]]-Tabla1[[#This Row],[BASE ANTERIOR]]</f>
        <v>2080</v>
      </c>
    </row>
    <row r="744" spans="1:13" ht="13.5" customHeight="1" x14ac:dyDescent="0.2">
      <c r="A744" s="1">
        <v>5933</v>
      </c>
      <c r="B744" s="2">
        <v>45494</v>
      </c>
      <c r="C744" s="3" t="s">
        <v>105</v>
      </c>
      <c r="D744" s="1" t="s">
        <v>18</v>
      </c>
      <c r="E744" s="1" t="s">
        <v>23</v>
      </c>
      <c r="F744" s="4">
        <v>3894930</v>
      </c>
      <c r="G744" s="4">
        <v>3531800</v>
      </c>
      <c r="H744" s="4">
        <v>362300</v>
      </c>
      <c r="I744" s="4">
        <v>50700</v>
      </c>
      <c r="J744" s="4">
        <v>1400</v>
      </c>
      <c r="K744" s="4">
        <v>914300</v>
      </c>
      <c r="L744" s="4">
        <v>963250</v>
      </c>
      <c r="M744" s="4">
        <f>Tabla1[[#This Row],[BASE DEL DIA]]+Tabla1[[#This Row],[ENTREGAS]]+Tabla1[[#This Row],[TARJETAS]]+Tabla1[[#This Row],[NEQUI O QR]]+Tabla1[[#This Row],[VENTAS FE.CREDITO]]-Tabla1[[#This Row],[VENTAS NETAS]]-Tabla1[[#This Row],[BASE ANTERIOR]]</f>
        <v>2320</v>
      </c>
    </row>
    <row r="745" spans="1:13" ht="13.5" customHeight="1" x14ac:dyDescent="0.2">
      <c r="A745" s="1">
        <v>5932</v>
      </c>
      <c r="B745" s="2">
        <v>45494</v>
      </c>
      <c r="C745" s="3" t="s">
        <v>132</v>
      </c>
      <c r="D745" s="1" t="s">
        <v>17</v>
      </c>
      <c r="E745" s="1" t="s">
        <v>22</v>
      </c>
      <c r="F745" s="4">
        <v>4022450</v>
      </c>
      <c r="G745" s="4">
        <v>3720300</v>
      </c>
      <c r="H745" s="4">
        <v>193250</v>
      </c>
      <c r="I745" s="4">
        <v>0</v>
      </c>
      <c r="J745" s="4">
        <v>10500</v>
      </c>
      <c r="K745" s="4">
        <v>963250</v>
      </c>
      <c r="L745" s="4">
        <v>861150</v>
      </c>
      <c r="M745" s="4">
        <f>Tabla1[[#This Row],[BASE DEL DIA]]+Tabla1[[#This Row],[ENTREGAS]]+Tabla1[[#This Row],[TARJETAS]]+Tabla1[[#This Row],[NEQUI O QR]]+Tabla1[[#This Row],[VENTAS FE.CREDITO]]-Tabla1[[#This Row],[VENTAS NETAS]]-Tabla1[[#This Row],[BASE ANTERIOR]]</f>
        <v>3700</v>
      </c>
    </row>
    <row r="746" spans="1:13" ht="13.5" customHeight="1" x14ac:dyDescent="0.2">
      <c r="A746" s="1">
        <v>5931</v>
      </c>
      <c r="B746" s="2">
        <v>45493</v>
      </c>
      <c r="C746" s="3" t="s">
        <v>105</v>
      </c>
      <c r="D746" s="1" t="s">
        <v>17</v>
      </c>
      <c r="E746" s="1" t="s">
        <v>23</v>
      </c>
      <c r="F746" s="4">
        <v>4056800</v>
      </c>
      <c r="G746" s="4">
        <v>3805400</v>
      </c>
      <c r="H746" s="4">
        <v>218800</v>
      </c>
      <c r="I746" s="4">
        <v>28800</v>
      </c>
      <c r="J746" s="4">
        <v>7700</v>
      </c>
      <c r="K746" s="4">
        <v>861150</v>
      </c>
      <c r="L746" s="4">
        <v>863900</v>
      </c>
      <c r="M746" s="4">
        <f>Tabla1[[#This Row],[BASE DEL DIA]]+Tabla1[[#This Row],[ENTREGAS]]+Tabla1[[#This Row],[TARJETAS]]+Tabla1[[#This Row],[NEQUI O QR]]+Tabla1[[#This Row],[VENTAS FE.CREDITO]]-Tabla1[[#This Row],[VENTAS NETAS]]-Tabla1[[#This Row],[BASE ANTERIOR]]</f>
        <v>1150</v>
      </c>
    </row>
    <row r="747" spans="1:13" ht="13.5" customHeight="1" x14ac:dyDescent="0.2">
      <c r="A747" s="1">
        <v>5930</v>
      </c>
      <c r="B747" s="2">
        <v>45493</v>
      </c>
      <c r="C747" s="3" t="s">
        <v>140</v>
      </c>
      <c r="D747" s="1" t="s">
        <v>18</v>
      </c>
      <c r="E747" s="1" t="s">
        <v>22</v>
      </c>
      <c r="F747" s="4">
        <v>3651760</v>
      </c>
      <c r="G747" s="4">
        <v>3497350</v>
      </c>
      <c r="H747" s="4">
        <v>204940</v>
      </c>
      <c r="I747" s="4">
        <v>0</v>
      </c>
      <c r="J747" s="4">
        <v>0</v>
      </c>
      <c r="K747" s="4">
        <v>863900</v>
      </c>
      <c r="L747" s="4">
        <v>912950</v>
      </c>
      <c r="M747" s="4">
        <f>Tabla1[[#This Row],[BASE DEL DIA]]+Tabla1[[#This Row],[ENTREGAS]]+Tabla1[[#This Row],[TARJETAS]]+Tabla1[[#This Row],[NEQUI O QR]]+Tabla1[[#This Row],[VENTAS FE.CREDITO]]-Tabla1[[#This Row],[VENTAS NETAS]]-Tabla1[[#This Row],[BASE ANTERIOR]]</f>
        <v>1480</v>
      </c>
    </row>
    <row r="748" spans="1:13" ht="13.5" customHeight="1" x14ac:dyDescent="0.2">
      <c r="A748" s="1">
        <v>5929</v>
      </c>
      <c r="B748" s="2">
        <v>45492</v>
      </c>
      <c r="C748" s="3" t="s">
        <v>85</v>
      </c>
      <c r="D748" s="1" t="s">
        <v>18</v>
      </c>
      <c r="E748" s="1" t="s">
        <v>23</v>
      </c>
      <c r="F748" s="4">
        <v>3655180</v>
      </c>
      <c r="G748" s="4">
        <v>3343600</v>
      </c>
      <c r="H748" s="4">
        <v>202220</v>
      </c>
      <c r="I748" s="4">
        <v>0</v>
      </c>
      <c r="J748" s="4">
        <v>97200</v>
      </c>
      <c r="K748" s="4">
        <v>912950</v>
      </c>
      <c r="L748" s="4">
        <v>899150</v>
      </c>
      <c r="M748" s="4">
        <f>Tabla1[[#This Row],[BASE DEL DIA]]+Tabla1[[#This Row],[ENTREGAS]]+Tabla1[[#This Row],[TARJETAS]]+Tabla1[[#This Row],[NEQUI O QR]]+Tabla1[[#This Row],[VENTAS FE.CREDITO]]-Tabla1[[#This Row],[VENTAS NETAS]]-Tabla1[[#This Row],[BASE ANTERIOR]]</f>
        <v>1640</v>
      </c>
    </row>
    <row r="749" spans="1:13" ht="13.5" customHeight="1" x14ac:dyDescent="0.2">
      <c r="A749" s="1">
        <v>5928</v>
      </c>
      <c r="B749" s="2">
        <v>45492</v>
      </c>
      <c r="C749" s="3" t="s">
        <v>104</v>
      </c>
      <c r="D749" s="1" t="s">
        <v>17</v>
      </c>
      <c r="E749" s="1" t="s">
        <v>22</v>
      </c>
      <c r="F749" s="4">
        <v>2683900</v>
      </c>
      <c r="G749" s="4">
        <v>2569000</v>
      </c>
      <c r="H749" s="4">
        <v>46100</v>
      </c>
      <c r="I749" s="4">
        <v>27500</v>
      </c>
      <c r="J749" s="4">
        <v>3000</v>
      </c>
      <c r="K749" s="4">
        <v>899150</v>
      </c>
      <c r="L749" s="4">
        <v>859500</v>
      </c>
      <c r="M749" s="4">
        <f>Tabla1[[#This Row],[BASE DEL DIA]]+Tabla1[[#This Row],[ENTREGAS]]+Tabla1[[#This Row],[TARJETAS]]+Tabla1[[#This Row],[NEQUI O QR]]+Tabla1[[#This Row],[VENTAS FE.CREDITO]]-Tabla1[[#This Row],[VENTAS NETAS]]-Tabla1[[#This Row],[BASE ANTERIOR]]</f>
        <v>1350</v>
      </c>
    </row>
    <row r="750" spans="1:13" ht="13.5" customHeight="1" x14ac:dyDescent="0.2">
      <c r="A750" s="1">
        <v>5927</v>
      </c>
      <c r="B750" s="2">
        <v>45491</v>
      </c>
      <c r="C750" s="3" t="s">
        <v>83</v>
      </c>
      <c r="D750" s="1" t="s">
        <v>17</v>
      </c>
      <c r="E750" s="1" t="s">
        <v>23</v>
      </c>
      <c r="F750" s="4">
        <v>4172600</v>
      </c>
      <c r="G750" s="4">
        <v>3658300</v>
      </c>
      <c r="H750" s="4">
        <v>221900</v>
      </c>
      <c r="I750" s="4">
        <v>0</v>
      </c>
      <c r="J750" s="4">
        <v>297700</v>
      </c>
      <c r="K750" s="4">
        <v>859500</v>
      </c>
      <c r="L750" s="4">
        <v>862050</v>
      </c>
      <c r="M750" s="4">
        <f>Tabla1[[#This Row],[BASE DEL DIA]]+Tabla1[[#This Row],[ENTREGAS]]+Tabla1[[#This Row],[TARJETAS]]+Tabla1[[#This Row],[NEQUI O QR]]+Tabla1[[#This Row],[VENTAS FE.CREDITO]]-Tabla1[[#This Row],[VENTAS NETAS]]-Tabla1[[#This Row],[BASE ANTERIOR]]</f>
        <v>2750</v>
      </c>
    </row>
    <row r="751" spans="1:13" ht="13.5" customHeight="1" x14ac:dyDescent="0.2">
      <c r="A751" s="1">
        <v>5926</v>
      </c>
      <c r="B751" s="2">
        <v>45491</v>
      </c>
      <c r="C751" s="3" t="s">
        <v>47</v>
      </c>
      <c r="D751" s="1" t="s">
        <v>18</v>
      </c>
      <c r="E751" s="1" t="s">
        <v>22</v>
      </c>
      <c r="F751" s="4">
        <v>3110890</v>
      </c>
      <c r="G751" s="4">
        <v>3077750</v>
      </c>
      <c r="H751" s="4">
        <v>80460</v>
      </c>
      <c r="I751" s="4">
        <v>22600</v>
      </c>
      <c r="J751" s="4">
        <v>0</v>
      </c>
      <c r="K751" s="4">
        <v>862050</v>
      </c>
      <c r="L751" s="4">
        <v>919750</v>
      </c>
      <c r="M751" s="4">
        <f>Tabla1[[#This Row],[BASE DEL DIA]]+Tabla1[[#This Row],[ENTREGAS]]+Tabla1[[#This Row],[TARJETAS]]+Tabla1[[#This Row],[NEQUI O QR]]+Tabla1[[#This Row],[VENTAS FE.CREDITO]]-Tabla1[[#This Row],[VENTAS NETAS]]-Tabla1[[#This Row],[BASE ANTERIOR]]</f>
        <v>12220</v>
      </c>
    </row>
    <row r="752" spans="1:13" ht="13.5" customHeight="1" x14ac:dyDescent="0.2">
      <c r="A752" s="1">
        <v>5925</v>
      </c>
      <c r="B752" s="2">
        <v>45490</v>
      </c>
      <c r="C752" s="3" t="s">
        <v>66</v>
      </c>
      <c r="D752" s="1" t="s">
        <v>18</v>
      </c>
      <c r="E752" s="1" t="s">
        <v>23</v>
      </c>
      <c r="F752" s="4">
        <v>4944860</v>
      </c>
      <c r="G752" s="4">
        <v>4830000</v>
      </c>
      <c r="H752" s="4">
        <v>136880</v>
      </c>
      <c r="I752" s="4">
        <v>0</v>
      </c>
      <c r="J752" s="4">
        <v>9300</v>
      </c>
      <c r="K752" s="4">
        <v>919750</v>
      </c>
      <c r="L752" s="4">
        <v>948900</v>
      </c>
      <c r="M752" s="4">
        <f>Tabla1[[#This Row],[BASE DEL DIA]]+Tabla1[[#This Row],[ENTREGAS]]+Tabla1[[#This Row],[TARJETAS]]+Tabla1[[#This Row],[NEQUI O QR]]+Tabla1[[#This Row],[VENTAS FE.CREDITO]]-Tabla1[[#This Row],[VENTAS NETAS]]-Tabla1[[#This Row],[BASE ANTERIOR]]</f>
        <v>2170</v>
      </c>
    </row>
    <row r="753" spans="1:13" ht="13.5" customHeight="1" x14ac:dyDescent="0.2">
      <c r="A753" s="1">
        <v>5924</v>
      </c>
      <c r="B753" s="2">
        <v>45490</v>
      </c>
      <c r="C753" s="3" t="s">
        <v>125</v>
      </c>
      <c r="D753" s="1" t="s">
        <v>17</v>
      </c>
      <c r="E753" s="1" t="s">
        <v>22</v>
      </c>
      <c r="F753" s="4">
        <v>2907300</v>
      </c>
      <c r="G753" s="4">
        <v>2605000</v>
      </c>
      <c r="H753" s="4">
        <v>98000</v>
      </c>
      <c r="I753" s="4">
        <v>110700</v>
      </c>
      <c r="J753" s="4">
        <v>83700</v>
      </c>
      <c r="K753" s="4">
        <v>948900</v>
      </c>
      <c r="L753" s="4">
        <v>948300</v>
      </c>
      <c r="M753" s="4">
        <f>Tabla1[[#This Row],[BASE DEL DIA]]+Tabla1[[#This Row],[ENTREGAS]]+Tabla1[[#This Row],[TARJETAS]]+Tabla1[[#This Row],[NEQUI O QR]]+Tabla1[[#This Row],[VENTAS FE.CREDITO]]-Tabla1[[#This Row],[VENTAS NETAS]]-Tabla1[[#This Row],[BASE ANTERIOR]]</f>
        <v>-9300</v>
      </c>
    </row>
    <row r="754" spans="1:13" ht="13.5" customHeight="1" x14ac:dyDescent="0.2">
      <c r="A754" s="1">
        <v>5923</v>
      </c>
      <c r="B754" s="2">
        <v>45489</v>
      </c>
      <c r="C754" s="3" t="s">
        <v>119</v>
      </c>
      <c r="D754" s="1" t="s">
        <v>17</v>
      </c>
      <c r="E754" s="1" t="s">
        <v>23</v>
      </c>
      <c r="F754" s="4">
        <v>5186500</v>
      </c>
      <c r="G754" s="4">
        <v>4587500</v>
      </c>
      <c r="H754" s="4">
        <v>516500</v>
      </c>
      <c r="I754" s="4">
        <v>0</v>
      </c>
      <c r="J754" s="4">
        <v>7700</v>
      </c>
      <c r="K754" s="4">
        <v>948300</v>
      </c>
      <c r="L754" s="4">
        <v>874900</v>
      </c>
      <c r="M754" s="4">
        <f>Tabla1[[#This Row],[BASE DEL DIA]]+Tabla1[[#This Row],[ENTREGAS]]+Tabla1[[#This Row],[TARJETAS]]+Tabla1[[#This Row],[NEQUI O QR]]+Tabla1[[#This Row],[VENTAS FE.CREDITO]]-Tabla1[[#This Row],[VENTAS NETAS]]-Tabla1[[#This Row],[BASE ANTERIOR]]</f>
        <v>-1400</v>
      </c>
    </row>
    <row r="755" spans="1:13" ht="13.5" customHeight="1" x14ac:dyDescent="0.2">
      <c r="A755" s="1">
        <v>5922</v>
      </c>
      <c r="B755" s="2">
        <v>45489</v>
      </c>
      <c r="C755" s="3" t="s">
        <v>49</v>
      </c>
      <c r="D755" s="1" t="s">
        <v>18</v>
      </c>
      <c r="E755" s="1" t="s">
        <v>22</v>
      </c>
      <c r="F755" s="4">
        <v>3153360</v>
      </c>
      <c r="G755" s="4">
        <v>2632900</v>
      </c>
      <c r="H755" s="4">
        <v>106300</v>
      </c>
      <c r="I755" s="4">
        <v>466500</v>
      </c>
      <c r="J755" s="4">
        <v>50700</v>
      </c>
      <c r="K755" s="4">
        <v>874900</v>
      </c>
      <c r="L755" s="4">
        <v>975850</v>
      </c>
      <c r="M755" s="4">
        <f>Tabla1[[#This Row],[BASE DEL DIA]]+Tabla1[[#This Row],[ENTREGAS]]+Tabla1[[#This Row],[TARJETAS]]+Tabla1[[#This Row],[NEQUI O QR]]+Tabla1[[#This Row],[VENTAS FE.CREDITO]]-Tabla1[[#This Row],[VENTAS NETAS]]-Tabla1[[#This Row],[BASE ANTERIOR]]</f>
        <v>2090</v>
      </c>
    </row>
    <row r="756" spans="1:13" ht="13.5" customHeight="1" x14ac:dyDescent="0.2">
      <c r="A756" s="1">
        <v>5921</v>
      </c>
      <c r="B756" s="2">
        <v>45488</v>
      </c>
      <c r="C756" s="3" t="s">
        <v>66</v>
      </c>
      <c r="D756" s="1" t="s">
        <v>18</v>
      </c>
      <c r="E756" s="1" t="s">
        <v>23</v>
      </c>
      <c r="F756" s="4">
        <v>4817830</v>
      </c>
      <c r="G756" s="4">
        <v>3955000</v>
      </c>
      <c r="H756" s="4">
        <v>785480</v>
      </c>
      <c r="I756" s="4">
        <v>91700</v>
      </c>
      <c r="J756" s="4">
        <v>9100</v>
      </c>
      <c r="K756" s="4">
        <v>975850</v>
      </c>
      <c r="L756" s="4">
        <v>997800</v>
      </c>
      <c r="M756" s="4">
        <f>Tabla1[[#This Row],[BASE DEL DIA]]+Tabla1[[#This Row],[ENTREGAS]]+Tabla1[[#This Row],[TARJETAS]]+Tabla1[[#This Row],[NEQUI O QR]]+Tabla1[[#This Row],[VENTAS FE.CREDITO]]-Tabla1[[#This Row],[VENTAS NETAS]]-Tabla1[[#This Row],[BASE ANTERIOR]]</f>
        <v>1500</v>
      </c>
    </row>
    <row r="757" spans="1:13" ht="13.5" customHeight="1" x14ac:dyDescent="0.2">
      <c r="A757" s="1">
        <v>5920</v>
      </c>
      <c r="B757" s="2">
        <v>45488</v>
      </c>
      <c r="C757" s="3" t="s">
        <v>76</v>
      </c>
      <c r="D757" s="1" t="s">
        <v>19</v>
      </c>
      <c r="E757" s="1" t="s">
        <v>22</v>
      </c>
      <c r="F757" s="4">
        <v>2335740</v>
      </c>
      <c r="G757" s="4">
        <v>1986000</v>
      </c>
      <c r="H757" s="4">
        <v>302600</v>
      </c>
      <c r="I757" s="4">
        <v>0</v>
      </c>
      <c r="J757" s="4">
        <v>3100</v>
      </c>
      <c r="K757" s="4">
        <v>997800</v>
      </c>
      <c r="L757" s="4">
        <v>962500</v>
      </c>
      <c r="M757" s="4">
        <f>Tabla1[[#This Row],[BASE DEL DIA]]+Tabla1[[#This Row],[ENTREGAS]]+Tabla1[[#This Row],[TARJETAS]]+Tabla1[[#This Row],[NEQUI O QR]]+Tabla1[[#This Row],[VENTAS FE.CREDITO]]-Tabla1[[#This Row],[VENTAS NETAS]]-Tabla1[[#This Row],[BASE ANTERIOR]]</f>
        <v>-8740</v>
      </c>
    </row>
    <row r="758" spans="1:13" ht="13.5" customHeight="1" x14ac:dyDescent="0.2">
      <c r="A758" s="1">
        <v>5919</v>
      </c>
      <c r="B758" s="2">
        <v>45487</v>
      </c>
      <c r="C758" s="3" t="s">
        <v>139</v>
      </c>
      <c r="D758" s="1" t="s">
        <v>17</v>
      </c>
      <c r="E758" s="1" t="s">
        <v>23</v>
      </c>
      <c r="F758" s="4">
        <v>4682900</v>
      </c>
      <c r="G758" s="4">
        <v>4368000</v>
      </c>
      <c r="H758" s="4">
        <v>250000</v>
      </c>
      <c r="I758" s="4">
        <v>27400</v>
      </c>
      <c r="J758" s="4">
        <v>37800</v>
      </c>
      <c r="K758" s="4">
        <v>962500</v>
      </c>
      <c r="L758" s="4">
        <v>961650</v>
      </c>
      <c r="M758" s="4">
        <f>Tabla1[[#This Row],[BASE DEL DIA]]+Tabla1[[#This Row],[ENTREGAS]]+Tabla1[[#This Row],[TARJETAS]]+Tabla1[[#This Row],[NEQUI O QR]]+Tabla1[[#This Row],[VENTAS FE.CREDITO]]-Tabla1[[#This Row],[VENTAS NETAS]]-Tabla1[[#This Row],[BASE ANTERIOR]]</f>
        <v>1150</v>
      </c>
    </row>
    <row r="759" spans="1:13" ht="13.5" customHeight="1" x14ac:dyDescent="0.2">
      <c r="A759" s="1">
        <v>5918</v>
      </c>
      <c r="B759" s="2">
        <v>45487</v>
      </c>
      <c r="C759" s="3" t="s">
        <v>53</v>
      </c>
      <c r="D759" s="1" t="s">
        <v>133</v>
      </c>
      <c r="E759" s="1" t="s">
        <v>22</v>
      </c>
      <c r="F759" s="4">
        <v>3791050</v>
      </c>
      <c r="G759" s="4">
        <v>3416200</v>
      </c>
      <c r="H759" s="4">
        <v>271600</v>
      </c>
      <c r="I759" s="4">
        <v>16300</v>
      </c>
      <c r="J759" s="4">
        <v>0</v>
      </c>
      <c r="K759" s="4">
        <v>961650</v>
      </c>
      <c r="L759" s="4">
        <v>876550</v>
      </c>
      <c r="M759" s="4">
        <f>Tabla1[[#This Row],[BASE DEL DIA]]+Tabla1[[#This Row],[ENTREGAS]]+Tabla1[[#This Row],[TARJETAS]]+Tabla1[[#This Row],[NEQUI O QR]]+Tabla1[[#This Row],[VENTAS FE.CREDITO]]-Tabla1[[#This Row],[VENTAS NETAS]]-Tabla1[[#This Row],[BASE ANTERIOR]]</f>
        <v>-1850</v>
      </c>
    </row>
    <row r="760" spans="1:13" ht="13.5" customHeight="1" x14ac:dyDescent="0.2">
      <c r="A760" s="1">
        <v>5917</v>
      </c>
      <c r="B760" s="2">
        <v>45486</v>
      </c>
      <c r="C760" s="3" t="s">
        <v>107</v>
      </c>
      <c r="D760" s="1" t="s">
        <v>18</v>
      </c>
      <c r="E760" s="1" t="s">
        <v>23</v>
      </c>
      <c r="F760" s="4">
        <v>4594851</v>
      </c>
      <c r="G760" s="4">
        <v>4493600</v>
      </c>
      <c r="H760" s="4">
        <v>112660</v>
      </c>
      <c r="I760" s="4">
        <v>0</v>
      </c>
      <c r="J760" s="4">
        <v>3900</v>
      </c>
      <c r="K760" s="4">
        <v>876550</v>
      </c>
      <c r="L760" s="4">
        <v>888100</v>
      </c>
      <c r="M760" s="4">
        <f>Tabla1[[#This Row],[BASE DEL DIA]]+Tabla1[[#This Row],[ENTREGAS]]+Tabla1[[#This Row],[TARJETAS]]+Tabla1[[#This Row],[NEQUI O QR]]+Tabla1[[#This Row],[VENTAS FE.CREDITO]]-Tabla1[[#This Row],[VENTAS NETAS]]-Tabla1[[#This Row],[BASE ANTERIOR]]</f>
        <v>3759</v>
      </c>
    </row>
    <row r="761" spans="1:13" ht="13.5" customHeight="1" x14ac:dyDescent="0.2">
      <c r="A761" s="1">
        <v>5916</v>
      </c>
      <c r="B761" s="2">
        <v>45486</v>
      </c>
      <c r="C761" s="3" t="s">
        <v>65</v>
      </c>
      <c r="D761" s="1" t="s">
        <v>17</v>
      </c>
      <c r="E761" s="1" t="s">
        <v>22</v>
      </c>
      <c r="F761" s="4">
        <v>3020340</v>
      </c>
      <c r="G761" s="4">
        <v>2719650</v>
      </c>
      <c r="H761" s="4">
        <v>155200</v>
      </c>
      <c r="I761" s="4">
        <v>29700</v>
      </c>
      <c r="J761" s="4">
        <v>7400</v>
      </c>
      <c r="K761" s="4">
        <v>888100</v>
      </c>
      <c r="L761" s="4">
        <v>781050</v>
      </c>
      <c r="M761" s="4">
        <f>Tabla1[[#This Row],[BASE DEL DIA]]+Tabla1[[#This Row],[ENTREGAS]]+Tabla1[[#This Row],[TARJETAS]]+Tabla1[[#This Row],[NEQUI O QR]]+Tabla1[[#This Row],[VENTAS FE.CREDITO]]-Tabla1[[#This Row],[VENTAS NETAS]]-Tabla1[[#This Row],[BASE ANTERIOR]]</f>
        <v>-1340</v>
      </c>
    </row>
    <row r="762" spans="1:13" ht="13.5" customHeight="1" x14ac:dyDescent="0.2">
      <c r="A762" s="1">
        <v>5915</v>
      </c>
      <c r="B762" s="2">
        <v>45485</v>
      </c>
      <c r="C762" s="3" t="s">
        <v>96</v>
      </c>
      <c r="D762" s="1" t="s">
        <v>17</v>
      </c>
      <c r="E762" s="1" t="s">
        <v>23</v>
      </c>
      <c r="F762" s="4">
        <v>2379500</v>
      </c>
      <c r="G762" s="4">
        <v>2294600</v>
      </c>
      <c r="H762" s="4">
        <v>181800</v>
      </c>
      <c r="I762" s="4">
        <v>8100</v>
      </c>
      <c r="J762" s="4">
        <v>17700</v>
      </c>
      <c r="K762" s="4">
        <v>781050</v>
      </c>
      <c r="L762" s="4">
        <v>898450</v>
      </c>
      <c r="M762" s="4">
        <f>Tabla1[[#This Row],[BASE DEL DIA]]+Tabla1[[#This Row],[ENTREGAS]]+Tabla1[[#This Row],[TARJETAS]]+Tabla1[[#This Row],[NEQUI O QR]]+Tabla1[[#This Row],[VENTAS FE.CREDITO]]-Tabla1[[#This Row],[VENTAS NETAS]]-Tabla1[[#This Row],[BASE ANTERIOR]]</f>
        <v>5300</v>
      </c>
    </row>
    <row r="763" spans="1:13" ht="13.5" customHeight="1" x14ac:dyDescent="0.2">
      <c r="A763" s="1">
        <v>5914</v>
      </c>
      <c r="B763" s="2">
        <v>45485</v>
      </c>
      <c r="C763" s="3" t="s">
        <v>138</v>
      </c>
      <c r="D763" s="1" t="s">
        <v>18</v>
      </c>
      <c r="E763" s="1" t="s">
        <v>22</v>
      </c>
      <c r="F763" s="4">
        <v>2860100</v>
      </c>
      <c r="G763" s="4">
        <v>2810200</v>
      </c>
      <c r="H763" s="4">
        <v>78020</v>
      </c>
      <c r="I763" s="4">
        <v>0</v>
      </c>
      <c r="J763" s="4">
        <v>0</v>
      </c>
      <c r="K763" s="4">
        <v>898450</v>
      </c>
      <c r="L763" s="4">
        <v>930550</v>
      </c>
      <c r="M763" s="4">
        <f>Tabla1[[#This Row],[BASE DEL DIA]]+Tabla1[[#This Row],[ENTREGAS]]+Tabla1[[#This Row],[TARJETAS]]+Tabla1[[#This Row],[NEQUI O QR]]+Tabla1[[#This Row],[VENTAS FE.CREDITO]]-Tabla1[[#This Row],[VENTAS NETAS]]-Tabla1[[#This Row],[BASE ANTERIOR]]</f>
        <v>-3980</v>
      </c>
    </row>
    <row r="764" spans="1:13" ht="13.5" customHeight="1" x14ac:dyDescent="0.2">
      <c r="A764" s="1">
        <v>5913</v>
      </c>
      <c r="B764" s="2">
        <v>45484</v>
      </c>
      <c r="C764" s="3" t="s">
        <v>40</v>
      </c>
      <c r="D764" s="1" t="s">
        <v>18</v>
      </c>
      <c r="E764" s="1" t="s">
        <v>23</v>
      </c>
      <c r="F764" s="4">
        <v>3480740</v>
      </c>
      <c r="G764" s="4">
        <v>3300000</v>
      </c>
      <c r="H764" s="4">
        <v>174760</v>
      </c>
      <c r="I764" s="4">
        <v>0</v>
      </c>
      <c r="J764" s="4">
        <v>12100</v>
      </c>
      <c r="K764" s="4">
        <v>930550</v>
      </c>
      <c r="L764" s="4">
        <v>938600</v>
      </c>
      <c r="M764" s="4">
        <f>Tabla1[[#This Row],[BASE DEL DIA]]+Tabla1[[#This Row],[ENTREGAS]]+Tabla1[[#This Row],[TARJETAS]]+Tabla1[[#This Row],[NEQUI O QR]]+Tabla1[[#This Row],[VENTAS FE.CREDITO]]-Tabla1[[#This Row],[VENTAS NETAS]]-Tabla1[[#This Row],[BASE ANTERIOR]]</f>
        <v>-1930</v>
      </c>
    </row>
    <row r="765" spans="1:13" ht="13.5" customHeight="1" x14ac:dyDescent="0.2">
      <c r="A765" s="1">
        <v>5912</v>
      </c>
      <c r="B765" s="2">
        <v>45484</v>
      </c>
      <c r="C765" s="3" t="s">
        <v>47</v>
      </c>
      <c r="D765" s="1" t="s">
        <v>17</v>
      </c>
      <c r="E765" s="1" t="s">
        <v>22</v>
      </c>
      <c r="F765" s="4">
        <v>2112910</v>
      </c>
      <c r="G765" s="4">
        <v>1897850</v>
      </c>
      <c r="H765" s="4">
        <v>76600</v>
      </c>
      <c r="I765" s="4">
        <v>57500</v>
      </c>
      <c r="J765" s="4">
        <v>4800</v>
      </c>
      <c r="K765" s="4">
        <v>938600</v>
      </c>
      <c r="L765" s="4">
        <v>861050</v>
      </c>
      <c r="M765" s="4">
        <f>Tabla1[[#This Row],[BASE DEL DIA]]+Tabla1[[#This Row],[ENTREGAS]]+Tabla1[[#This Row],[TARJETAS]]+Tabla1[[#This Row],[NEQUI O QR]]+Tabla1[[#This Row],[VENTAS FE.CREDITO]]-Tabla1[[#This Row],[VENTAS NETAS]]-Tabla1[[#This Row],[BASE ANTERIOR]]</f>
        <v>1390</v>
      </c>
    </row>
    <row r="766" spans="1:13" ht="13.5" customHeight="1" x14ac:dyDescent="0.2">
      <c r="B766" s="2">
        <v>45483</v>
      </c>
      <c r="C766" s="3" t="s">
        <v>130</v>
      </c>
      <c r="D766" s="1" t="s">
        <v>18</v>
      </c>
      <c r="E766" s="1" t="s">
        <v>23</v>
      </c>
      <c r="F766" s="4">
        <v>2631800</v>
      </c>
      <c r="G766" s="4">
        <v>2448100</v>
      </c>
      <c r="H766" s="4">
        <v>186200</v>
      </c>
      <c r="I766" s="4">
        <v>0</v>
      </c>
      <c r="J766" s="4">
        <v>8700</v>
      </c>
      <c r="K766" s="4">
        <v>861050</v>
      </c>
      <c r="L766" s="4">
        <v>850400</v>
      </c>
      <c r="M766" s="4">
        <f>Tabla1[[#This Row],[BASE DEL DIA]]+Tabla1[[#This Row],[ENTREGAS]]+Tabla1[[#This Row],[TARJETAS]]+Tabla1[[#This Row],[NEQUI O QR]]+Tabla1[[#This Row],[VENTAS FE.CREDITO]]-Tabla1[[#This Row],[VENTAS NETAS]]-Tabla1[[#This Row],[BASE ANTERIOR]]</f>
        <v>21850</v>
      </c>
    </row>
    <row r="767" spans="1:13" ht="13.5" customHeight="1" x14ac:dyDescent="0.2">
      <c r="A767" s="1">
        <v>5910</v>
      </c>
      <c r="B767" s="2">
        <v>45483</v>
      </c>
      <c r="C767" s="3" t="s">
        <v>137</v>
      </c>
      <c r="D767" s="1" t="s">
        <v>18</v>
      </c>
      <c r="E767" s="1" t="s">
        <v>23</v>
      </c>
      <c r="F767" s="4">
        <v>2380120</v>
      </c>
      <c r="G767" s="4">
        <v>2371100</v>
      </c>
      <c r="H767" s="4">
        <v>28460</v>
      </c>
      <c r="I767" s="4">
        <v>16400</v>
      </c>
      <c r="J767" s="4">
        <v>0</v>
      </c>
      <c r="K767" s="4">
        <v>850400</v>
      </c>
      <c r="L767" s="4">
        <v>882850</v>
      </c>
      <c r="M767" s="4">
        <f>Tabla1[[#This Row],[BASE DEL DIA]]+Tabla1[[#This Row],[ENTREGAS]]+Tabla1[[#This Row],[TARJETAS]]+Tabla1[[#This Row],[NEQUI O QR]]+Tabla1[[#This Row],[VENTAS FE.CREDITO]]-Tabla1[[#This Row],[VENTAS NETAS]]-Tabla1[[#This Row],[BASE ANTERIOR]]</f>
        <v>3390</v>
      </c>
    </row>
    <row r="768" spans="1:13" ht="13.5" customHeight="1" x14ac:dyDescent="0.2">
      <c r="A768" s="1">
        <v>5909</v>
      </c>
      <c r="B768" s="2">
        <v>45482</v>
      </c>
      <c r="C768" s="3" t="s">
        <v>85</v>
      </c>
      <c r="D768" s="1" t="s">
        <v>18</v>
      </c>
      <c r="E768" s="1" t="s">
        <v>23</v>
      </c>
      <c r="F768" s="4">
        <v>3266000</v>
      </c>
      <c r="G768" s="4">
        <v>3280800</v>
      </c>
      <c r="H768" s="4">
        <v>34400</v>
      </c>
      <c r="I768" s="4">
        <v>35600</v>
      </c>
      <c r="J768" s="4">
        <v>0</v>
      </c>
      <c r="K768" s="4">
        <v>882850</v>
      </c>
      <c r="L768" s="4">
        <v>965550</v>
      </c>
      <c r="M768" s="4">
        <f>Tabla1[[#This Row],[BASE DEL DIA]]+Tabla1[[#This Row],[ENTREGAS]]+Tabla1[[#This Row],[TARJETAS]]+Tabla1[[#This Row],[NEQUI O QR]]+Tabla1[[#This Row],[VENTAS FE.CREDITO]]-Tabla1[[#This Row],[VENTAS NETAS]]-Tabla1[[#This Row],[BASE ANTERIOR]]</f>
        <v>2100</v>
      </c>
    </row>
    <row r="769" spans="1:13" ht="13.5" customHeight="1" x14ac:dyDescent="0.2">
      <c r="A769" s="1">
        <v>5908</v>
      </c>
      <c r="B769" s="2">
        <v>45482</v>
      </c>
      <c r="C769" s="3" t="s">
        <v>109</v>
      </c>
      <c r="D769" s="1" t="s">
        <v>17</v>
      </c>
      <c r="E769" s="1" t="s">
        <v>22</v>
      </c>
      <c r="F769" s="4">
        <v>2823800</v>
      </c>
      <c r="G769" s="4">
        <v>2585100</v>
      </c>
      <c r="H769" s="4">
        <v>44300</v>
      </c>
      <c r="I769" s="4">
        <v>146200</v>
      </c>
      <c r="J769" s="4">
        <v>0</v>
      </c>
      <c r="K769" s="4">
        <v>965550</v>
      </c>
      <c r="L769" s="4">
        <v>914950</v>
      </c>
      <c r="M769" s="4">
        <f>Tabla1[[#This Row],[BASE DEL DIA]]+Tabla1[[#This Row],[ENTREGAS]]+Tabla1[[#This Row],[TARJETAS]]+Tabla1[[#This Row],[NEQUI O QR]]+Tabla1[[#This Row],[VENTAS FE.CREDITO]]-Tabla1[[#This Row],[VENTAS NETAS]]-Tabla1[[#This Row],[BASE ANTERIOR]]</f>
        <v>2400</v>
      </c>
    </row>
    <row r="770" spans="1:13" ht="13.5" customHeight="1" x14ac:dyDescent="0.2">
      <c r="A770" s="1">
        <v>5907</v>
      </c>
      <c r="B770" s="2">
        <v>45481</v>
      </c>
      <c r="C770" s="3" t="s">
        <v>54</v>
      </c>
      <c r="D770" s="1" t="s">
        <v>17</v>
      </c>
      <c r="E770" s="1" t="s">
        <v>23</v>
      </c>
      <c r="F770" s="4">
        <v>3996800</v>
      </c>
      <c r="G770" s="4">
        <v>3735700</v>
      </c>
      <c r="H770" s="4">
        <v>337600</v>
      </c>
      <c r="I770" s="4">
        <v>0</v>
      </c>
      <c r="J770" s="4">
        <v>18000</v>
      </c>
      <c r="K770" s="4">
        <v>914950</v>
      </c>
      <c r="L770" s="4">
        <v>957450</v>
      </c>
      <c r="M770" s="4">
        <f>Tabla1[[#This Row],[BASE DEL DIA]]+Tabla1[[#This Row],[ENTREGAS]]+Tabla1[[#This Row],[TARJETAS]]+Tabla1[[#This Row],[NEQUI O QR]]+Tabla1[[#This Row],[VENTAS FE.CREDITO]]-Tabla1[[#This Row],[VENTAS NETAS]]-Tabla1[[#This Row],[BASE ANTERIOR]]</f>
        <v>52000</v>
      </c>
    </row>
    <row r="771" spans="1:13" ht="13.5" customHeight="1" x14ac:dyDescent="0.2">
      <c r="A771" s="1">
        <v>5906</v>
      </c>
      <c r="B771" s="2">
        <v>45481</v>
      </c>
      <c r="C771" s="3" t="s">
        <v>49</v>
      </c>
      <c r="D771" s="1" t="s">
        <v>18</v>
      </c>
      <c r="E771" s="1" t="s">
        <v>22</v>
      </c>
      <c r="F771" s="4">
        <v>2370660</v>
      </c>
      <c r="G771" s="4">
        <v>2252600</v>
      </c>
      <c r="H771" s="4">
        <v>84820</v>
      </c>
      <c r="I771" s="4">
        <v>0</v>
      </c>
      <c r="J771" s="4">
        <v>0</v>
      </c>
      <c r="K771" s="4">
        <v>957450</v>
      </c>
      <c r="L771" s="4">
        <v>928100</v>
      </c>
      <c r="M771" s="4">
        <f>Tabla1[[#This Row],[BASE DEL DIA]]+Tabla1[[#This Row],[ENTREGAS]]+Tabla1[[#This Row],[TARJETAS]]+Tabla1[[#This Row],[NEQUI O QR]]+Tabla1[[#This Row],[VENTAS FE.CREDITO]]-Tabla1[[#This Row],[VENTAS NETAS]]-Tabla1[[#This Row],[BASE ANTERIOR]]</f>
        <v>-3890</v>
      </c>
    </row>
    <row r="772" spans="1:13" ht="13.5" customHeight="1" x14ac:dyDescent="0.2">
      <c r="A772" s="1">
        <v>5905</v>
      </c>
      <c r="B772" s="2">
        <v>45480</v>
      </c>
      <c r="C772" s="3" t="s">
        <v>40</v>
      </c>
      <c r="D772" s="1" t="s">
        <v>18</v>
      </c>
      <c r="E772" s="1" t="s">
        <v>23</v>
      </c>
      <c r="F772" s="4">
        <v>4233790</v>
      </c>
      <c r="G772" s="4">
        <v>3694000</v>
      </c>
      <c r="H772" s="4">
        <v>519060</v>
      </c>
      <c r="I772" s="4">
        <v>0</v>
      </c>
      <c r="J772" s="4">
        <v>20600</v>
      </c>
      <c r="K772" s="4">
        <v>928100</v>
      </c>
      <c r="L772" s="4">
        <v>925200</v>
      </c>
      <c r="M772" s="4">
        <f>Tabla1[[#This Row],[BASE DEL DIA]]+Tabla1[[#This Row],[ENTREGAS]]+Tabla1[[#This Row],[TARJETAS]]+Tabla1[[#This Row],[NEQUI O QR]]+Tabla1[[#This Row],[VENTAS FE.CREDITO]]-Tabla1[[#This Row],[VENTAS NETAS]]-Tabla1[[#This Row],[BASE ANTERIOR]]</f>
        <v>2770</v>
      </c>
    </row>
    <row r="773" spans="1:13" ht="13.5" customHeight="1" x14ac:dyDescent="0.2">
      <c r="A773" s="1">
        <v>5904</v>
      </c>
      <c r="B773" s="2">
        <v>45480</v>
      </c>
      <c r="C773" s="3" t="s">
        <v>68</v>
      </c>
      <c r="D773" s="1" t="s">
        <v>133</v>
      </c>
      <c r="E773" s="1" t="s">
        <v>22</v>
      </c>
      <c r="F773" s="4">
        <v>3670960</v>
      </c>
      <c r="G773" s="4">
        <v>3249000</v>
      </c>
      <c r="H773" s="4">
        <v>304300</v>
      </c>
      <c r="I773" s="4">
        <v>19600</v>
      </c>
      <c r="J773" s="4">
        <v>0</v>
      </c>
      <c r="K773" s="4">
        <v>925200</v>
      </c>
      <c r="L773" s="4">
        <v>817450</v>
      </c>
      <c r="M773" s="4">
        <f>Tabla1[[#This Row],[BASE DEL DIA]]+Tabla1[[#This Row],[ENTREGAS]]+Tabla1[[#This Row],[TARJETAS]]+Tabla1[[#This Row],[NEQUI O QR]]+Tabla1[[#This Row],[VENTAS FE.CREDITO]]-Tabla1[[#This Row],[VENTAS NETAS]]-Tabla1[[#This Row],[BASE ANTERIOR]]</f>
        <v>9690</v>
      </c>
    </row>
    <row r="774" spans="1:13" ht="13.5" customHeight="1" x14ac:dyDescent="0.2">
      <c r="A774" s="1">
        <v>5903</v>
      </c>
      <c r="B774" s="2">
        <v>45479</v>
      </c>
      <c r="C774" s="3" t="s">
        <v>73</v>
      </c>
      <c r="D774" s="1" t="s">
        <v>17</v>
      </c>
      <c r="E774" s="1" t="s">
        <v>23</v>
      </c>
      <c r="F774" s="4">
        <v>5003400</v>
      </c>
      <c r="G774" s="4">
        <v>5068900</v>
      </c>
      <c r="H774" s="4">
        <v>42500</v>
      </c>
      <c r="I774" s="4">
        <v>0</v>
      </c>
      <c r="J774" s="4">
        <v>6100</v>
      </c>
      <c r="K774" s="4">
        <v>817450</v>
      </c>
      <c r="L774" s="4">
        <v>930750</v>
      </c>
      <c r="M774" s="4">
        <f>Tabla1[[#This Row],[BASE DEL DIA]]+Tabla1[[#This Row],[ENTREGAS]]+Tabla1[[#This Row],[TARJETAS]]+Tabla1[[#This Row],[NEQUI O QR]]+Tabla1[[#This Row],[VENTAS FE.CREDITO]]-Tabla1[[#This Row],[VENTAS NETAS]]-Tabla1[[#This Row],[BASE ANTERIOR]]</f>
        <v>800</v>
      </c>
    </row>
    <row r="775" spans="1:13" ht="13.5" customHeight="1" x14ac:dyDescent="0.2">
      <c r="A775" s="1">
        <v>5902</v>
      </c>
      <c r="B775" s="2">
        <v>45479</v>
      </c>
      <c r="C775" s="3" t="s">
        <v>136</v>
      </c>
      <c r="D775" s="1" t="s">
        <v>18</v>
      </c>
      <c r="E775" s="1" t="s">
        <v>22</v>
      </c>
      <c r="F775" s="4">
        <v>2736640</v>
      </c>
      <c r="G775" s="4">
        <v>2341600</v>
      </c>
      <c r="H775" s="4">
        <v>263480</v>
      </c>
      <c r="I775" s="4">
        <v>0</v>
      </c>
      <c r="J775" s="4">
        <v>0</v>
      </c>
      <c r="K775" s="4">
        <v>930750</v>
      </c>
      <c r="L775" s="4">
        <v>794050</v>
      </c>
      <c r="M775" s="4">
        <f>Tabla1[[#This Row],[BASE DEL DIA]]+Tabla1[[#This Row],[ENTREGAS]]+Tabla1[[#This Row],[TARJETAS]]+Tabla1[[#This Row],[NEQUI O QR]]+Tabla1[[#This Row],[VENTAS FE.CREDITO]]-Tabla1[[#This Row],[VENTAS NETAS]]-Tabla1[[#This Row],[BASE ANTERIOR]]</f>
        <v>5140</v>
      </c>
    </row>
    <row r="776" spans="1:13" ht="13.5" customHeight="1" x14ac:dyDescent="0.2">
      <c r="A776" s="1">
        <v>5901</v>
      </c>
      <c r="B776" s="2">
        <v>45478</v>
      </c>
      <c r="C776" s="3" t="s">
        <v>73</v>
      </c>
      <c r="D776" s="1" t="s">
        <v>18</v>
      </c>
      <c r="E776" s="1" t="s">
        <v>23</v>
      </c>
      <c r="F776" s="4">
        <v>4800660</v>
      </c>
      <c r="G776" s="4">
        <v>4612000</v>
      </c>
      <c r="H776" s="4">
        <v>362920</v>
      </c>
      <c r="I776" s="4">
        <v>0</v>
      </c>
      <c r="J776" s="4">
        <v>30000</v>
      </c>
      <c r="K776" s="4">
        <v>794050</v>
      </c>
      <c r="L776" s="4">
        <v>975850</v>
      </c>
      <c r="M776" s="4">
        <f>Tabla1[[#This Row],[BASE DEL DIA]]+Tabla1[[#This Row],[ENTREGAS]]+Tabla1[[#This Row],[TARJETAS]]+Tabla1[[#This Row],[NEQUI O QR]]+Tabla1[[#This Row],[VENTAS FE.CREDITO]]-Tabla1[[#This Row],[VENTAS NETAS]]-Tabla1[[#This Row],[BASE ANTERIOR]]</f>
        <v>22460</v>
      </c>
    </row>
    <row r="777" spans="1:13" ht="13.5" customHeight="1" x14ac:dyDescent="0.2">
      <c r="A777" s="1">
        <v>5900</v>
      </c>
      <c r="B777" s="2">
        <v>45478</v>
      </c>
      <c r="C777" s="3" t="s">
        <v>135</v>
      </c>
      <c r="D777" s="1" t="s">
        <v>17</v>
      </c>
      <c r="E777" s="1" t="s">
        <v>22</v>
      </c>
      <c r="F777" s="4">
        <v>2844240</v>
      </c>
      <c r="G777" s="4">
        <v>2474600</v>
      </c>
      <c r="H777" s="4">
        <v>217900</v>
      </c>
      <c r="I777" s="4">
        <v>0</v>
      </c>
      <c r="J777" s="4">
        <v>54200</v>
      </c>
      <c r="K777" s="4">
        <v>975850</v>
      </c>
      <c r="L777" s="4">
        <v>886050</v>
      </c>
      <c r="M777" s="4">
        <f>Tabla1[[#This Row],[BASE DEL DIA]]+Tabla1[[#This Row],[ENTREGAS]]+Tabla1[[#This Row],[TARJETAS]]+Tabla1[[#This Row],[NEQUI O QR]]+Tabla1[[#This Row],[VENTAS FE.CREDITO]]-Tabla1[[#This Row],[VENTAS NETAS]]-Tabla1[[#This Row],[BASE ANTERIOR]]</f>
        <v>-7740</v>
      </c>
    </row>
    <row r="778" spans="1:13" ht="13.5" customHeight="1" x14ac:dyDescent="0.2">
      <c r="B778" s="2">
        <v>45477</v>
      </c>
      <c r="C778" s="3" t="s">
        <v>63</v>
      </c>
      <c r="D778" s="1" t="s">
        <v>17</v>
      </c>
      <c r="E778" s="1" t="s">
        <v>23</v>
      </c>
      <c r="F778" s="4">
        <v>2994200</v>
      </c>
      <c r="G778" s="4">
        <v>2834000</v>
      </c>
      <c r="H778" s="4">
        <v>155000</v>
      </c>
      <c r="I778" s="4">
        <v>0</v>
      </c>
      <c r="J778" s="4">
        <v>24500</v>
      </c>
      <c r="K778" s="4">
        <v>886050</v>
      </c>
      <c r="L778" s="4">
        <v>903050</v>
      </c>
      <c r="M778" s="4">
        <f>Tabla1[[#This Row],[BASE DEL DIA]]+Tabla1[[#This Row],[ENTREGAS]]+Tabla1[[#This Row],[TARJETAS]]+Tabla1[[#This Row],[NEQUI O QR]]+Tabla1[[#This Row],[VENTAS FE.CREDITO]]-Tabla1[[#This Row],[VENTAS NETAS]]-Tabla1[[#This Row],[BASE ANTERIOR]]</f>
        <v>2300</v>
      </c>
    </row>
    <row r="779" spans="1:13" ht="13.5" customHeight="1" x14ac:dyDescent="0.2">
      <c r="A779" s="1">
        <v>5898</v>
      </c>
      <c r="B779" s="2">
        <v>45477</v>
      </c>
      <c r="C779" s="3" t="s">
        <v>68</v>
      </c>
      <c r="D779" s="1" t="s">
        <v>18</v>
      </c>
      <c r="E779" s="1" t="s">
        <v>22</v>
      </c>
      <c r="F779" s="4">
        <v>2339660</v>
      </c>
      <c r="G779" s="4">
        <v>2044000</v>
      </c>
      <c r="H779" s="4">
        <v>247960</v>
      </c>
      <c r="I779" s="4">
        <v>0</v>
      </c>
      <c r="J779" s="4">
        <v>11000</v>
      </c>
      <c r="K779" s="4">
        <v>903050</v>
      </c>
      <c r="L779" s="4">
        <v>865450</v>
      </c>
      <c r="M779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780" spans="1:13" ht="13.5" customHeight="1" x14ac:dyDescent="0.2">
      <c r="A780" s="1">
        <v>5897</v>
      </c>
      <c r="B780" s="2">
        <v>45476</v>
      </c>
      <c r="C780" s="3" t="s">
        <v>96</v>
      </c>
      <c r="D780" s="1" t="s">
        <v>18</v>
      </c>
      <c r="E780" s="1" t="s">
        <v>23</v>
      </c>
      <c r="F780" s="4">
        <v>4667680</v>
      </c>
      <c r="G780" s="4">
        <v>4311800</v>
      </c>
      <c r="H780" s="4">
        <v>439300</v>
      </c>
      <c r="I780" s="4">
        <v>0</v>
      </c>
      <c r="J780" s="4">
        <v>7800</v>
      </c>
      <c r="K780" s="4">
        <v>865450</v>
      </c>
      <c r="L780" s="4">
        <v>954200</v>
      </c>
      <c r="M780" s="4">
        <f>Tabla1[[#This Row],[BASE DEL DIA]]+Tabla1[[#This Row],[ENTREGAS]]+Tabla1[[#This Row],[TARJETAS]]+Tabla1[[#This Row],[NEQUI O QR]]+Tabla1[[#This Row],[VENTAS FE.CREDITO]]-Tabla1[[#This Row],[VENTAS NETAS]]-Tabla1[[#This Row],[BASE ANTERIOR]]</f>
        <v>2470</v>
      </c>
    </row>
    <row r="781" spans="1:13" ht="13.5" customHeight="1" x14ac:dyDescent="0.2">
      <c r="A781" s="1">
        <v>5896</v>
      </c>
      <c r="B781" s="2">
        <v>45476</v>
      </c>
      <c r="C781" s="3" t="s">
        <v>81</v>
      </c>
      <c r="D781" s="1" t="s">
        <v>133</v>
      </c>
      <c r="E781" s="1" t="s">
        <v>22</v>
      </c>
      <c r="F781" s="4">
        <v>2459900</v>
      </c>
      <c r="G781" s="4">
        <v>2222900</v>
      </c>
      <c r="H781" s="4">
        <v>129500</v>
      </c>
      <c r="I781" s="4">
        <v>0</v>
      </c>
      <c r="J781" s="4">
        <v>1400</v>
      </c>
      <c r="K781" s="4">
        <v>954200</v>
      </c>
      <c r="L781" s="4">
        <v>863800</v>
      </c>
      <c r="M781" s="4">
        <f>Tabla1[[#This Row],[BASE DEL DIA]]+Tabla1[[#This Row],[ENTREGAS]]+Tabla1[[#This Row],[TARJETAS]]+Tabla1[[#This Row],[NEQUI O QR]]+Tabla1[[#This Row],[VENTAS FE.CREDITO]]-Tabla1[[#This Row],[VENTAS NETAS]]-Tabla1[[#This Row],[BASE ANTERIOR]]</f>
        <v>-15700</v>
      </c>
    </row>
    <row r="782" spans="1:13" ht="13.5" customHeight="1" x14ac:dyDescent="0.2">
      <c r="A782" s="1">
        <v>5895</v>
      </c>
      <c r="B782" s="2">
        <v>45475</v>
      </c>
      <c r="C782" s="3" t="s">
        <v>106</v>
      </c>
      <c r="D782" s="1" t="s">
        <v>17</v>
      </c>
      <c r="E782" s="1" t="s">
        <v>23</v>
      </c>
      <c r="F782" s="4">
        <v>4753360</v>
      </c>
      <c r="G782" s="4">
        <v>4537359</v>
      </c>
      <c r="H782" s="4">
        <v>158500</v>
      </c>
      <c r="I782" s="4">
        <v>21500</v>
      </c>
      <c r="J782" s="4">
        <v>7900</v>
      </c>
      <c r="K782" s="4">
        <v>863800</v>
      </c>
      <c r="L782" s="4">
        <v>830700</v>
      </c>
      <c r="M782" s="4">
        <f>Tabla1[[#This Row],[BASE DEL DIA]]+Tabla1[[#This Row],[ENTREGAS]]+Tabla1[[#This Row],[TARJETAS]]+Tabla1[[#This Row],[NEQUI O QR]]+Tabla1[[#This Row],[VENTAS FE.CREDITO]]-Tabla1[[#This Row],[VENTAS NETAS]]-Tabla1[[#This Row],[BASE ANTERIOR]]</f>
        <v>4999</v>
      </c>
    </row>
    <row r="783" spans="1:13" ht="13.5" customHeight="1" x14ac:dyDescent="0.2">
      <c r="A783" s="1">
        <v>5894</v>
      </c>
      <c r="B783" s="2">
        <v>45475</v>
      </c>
      <c r="C783" s="3" t="s">
        <v>116</v>
      </c>
      <c r="D783" s="1" t="s">
        <v>18</v>
      </c>
      <c r="E783" s="1" t="s">
        <v>22</v>
      </c>
      <c r="F783" s="4">
        <v>3179060</v>
      </c>
      <c r="G783" s="4">
        <v>3136400</v>
      </c>
      <c r="H783" s="4">
        <v>60960</v>
      </c>
      <c r="I783" s="4">
        <v>100000</v>
      </c>
      <c r="J783" s="4">
        <v>0</v>
      </c>
      <c r="K783" s="4">
        <v>830700</v>
      </c>
      <c r="L783" s="4">
        <v>948500</v>
      </c>
      <c r="M783" s="4">
        <f>Tabla1[[#This Row],[BASE DEL DIA]]+Tabla1[[#This Row],[ENTREGAS]]+Tabla1[[#This Row],[TARJETAS]]+Tabla1[[#This Row],[NEQUI O QR]]+Tabla1[[#This Row],[VENTAS FE.CREDITO]]-Tabla1[[#This Row],[VENTAS NETAS]]-Tabla1[[#This Row],[BASE ANTERIOR]]</f>
        <v>500</v>
      </c>
    </row>
    <row r="784" spans="1:13" ht="13.5" customHeight="1" x14ac:dyDescent="0.2">
      <c r="A784" s="1">
        <v>5893</v>
      </c>
      <c r="B784" s="2">
        <v>45474</v>
      </c>
      <c r="C784" s="3" t="s">
        <v>106</v>
      </c>
      <c r="D784" s="1" t="s">
        <v>17</v>
      </c>
      <c r="E784" s="1" t="s">
        <v>23</v>
      </c>
      <c r="F784" s="4">
        <v>5127800</v>
      </c>
      <c r="G784" s="4">
        <v>4516800</v>
      </c>
      <c r="H784" s="4">
        <v>547800</v>
      </c>
      <c r="I784" s="4">
        <v>0</v>
      </c>
      <c r="J784" s="4">
        <v>9800</v>
      </c>
      <c r="K784" s="4">
        <v>948500</v>
      </c>
      <c r="L784" s="4">
        <v>893600</v>
      </c>
      <c r="M784" s="4">
        <f>Tabla1[[#This Row],[BASE DEL DIA]]+Tabla1[[#This Row],[ENTREGAS]]+Tabla1[[#This Row],[TARJETAS]]+Tabla1[[#This Row],[NEQUI O QR]]+Tabla1[[#This Row],[VENTAS FE.CREDITO]]-Tabla1[[#This Row],[VENTAS NETAS]]-Tabla1[[#This Row],[BASE ANTERIOR]]</f>
        <v>1500</v>
      </c>
    </row>
    <row r="785" spans="1:13" ht="13.5" customHeight="1" x14ac:dyDescent="0.2">
      <c r="A785" s="1">
        <v>5892</v>
      </c>
      <c r="B785" s="2">
        <v>45474</v>
      </c>
      <c r="C785" s="3" t="s">
        <v>134</v>
      </c>
      <c r="D785" s="1" t="s">
        <v>19</v>
      </c>
      <c r="E785" s="1" t="s">
        <v>22</v>
      </c>
      <c r="F785" s="4">
        <v>4216050</v>
      </c>
      <c r="G785" s="4">
        <v>4126200</v>
      </c>
      <c r="H785" s="4">
        <v>97500</v>
      </c>
      <c r="I785" s="4">
        <v>0</v>
      </c>
      <c r="J785" s="4">
        <v>13400</v>
      </c>
      <c r="K785" s="4">
        <v>893600</v>
      </c>
      <c r="L785" s="4">
        <v>895250</v>
      </c>
      <c r="M785" s="4">
        <f>Tabla1[[#This Row],[BASE DEL DIA]]+Tabla1[[#This Row],[ENTREGAS]]+Tabla1[[#This Row],[TARJETAS]]+Tabla1[[#This Row],[NEQUI O QR]]+Tabla1[[#This Row],[VENTAS FE.CREDITO]]-Tabla1[[#This Row],[VENTAS NETAS]]-Tabla1[[#This Row],[BASE ANTERIOR]]</f>
        <v>19400</v>
      </c>
    </row>
    <row r="786" spans="1:13" ht="13.5" customHeight="1" x14ac:dyDescent="0.2">
      <c r="A786" s="1">
        <v>5891</v>
      </c>
      <c r="B786" s="2">
        <v>45473</v>
      </c>
      <c r="C786" s="3" t="s">
        <v>63</v>
      </c>
      <c r="D786" s="1" t="s">
        <v>19</v>
      </c>
      <c r="E786" s="1" t="s">
        <v>23</v>
      </c>
      <c r="F786" s="4">
        <v>4812470</v>
      </c>
      <c r="G786" s="4">
        <v>4411300</v>
      </c>
      <c r="H786" s="4">
        <v>497200</v>
      </c>
      <c r="J786" s="4">
        <v>12000</v>
      </c>
      <c r="K786" s="4">
        <v>895250</v>
      </c>
      <c r="L786" s="4">
        <v>1002600</v>
      </c>
      <c r="M786" s="4">
        <f>Tabla1[[#This Row],[BASE DEL DIA]]+Tabla1[[#This Row],[ENTREGAS]]+Tabla1[[#This Row],[TARJETAS]]+Tabla1[[#This Row],[NEQUI O QR]]+Tabla1[[#This Row],[VENTAS FE.CREDITO]]-Tabla1[[#This Row],[VENTAS NETAS]]-Tabla1[[#This Row],[BASE ANTERIOR]]</f>
        <v>680</v>
      </c>
    </row>
    <row r="787" spans="1:13" ht="13.5" customHeight="1" x14ac:dyDescent="0.2">
      <c r="B787" s="2">
        <v>45473</v>
      </c>
      <c r="C787" s="3" t="s">
        <v>132</v>
      </c>
      <c r="D787" s="1" t="s">
        <v>18</v>
      </c>
      <c r="E787" s="1" t="s">
        <v>22</v>
      </c>
      <c r="F787" s="4">
        <v>4591660</v>
      </c>
      <c r="G787" s="4">
        <v>4304500</v>
      </c>
      <c r="H787" s="4">
        <v>208920</v>
      </c>
      <c r="I787" s="4">
        <v>59700</v>
      </c>
      <c r="J787" s="4">
        <v>0</v>
      </c>
      <c r="K787" s="4">
        <v>1002600</v>
      </c>
      <c r="L787" s="4">
        <v>982050</v>
      </c>
      <c r="M787" s="4">
        <f>Tabla1[[#This Row],[BASE DEL DIA]]+Tabla1[[#This Row],[ENTREGAS]]+Tabla1[[#This Row],[TARJETAS]]+Tabla1[[#This Row],[NEQUI O QR]]+Tabla1[[#This Row],[VENTAS FE.CREDITO]]-Tabla1[[#This Row],[VENTAS NETAS]]-Tabla1[[#This Row],[BASE ANTERIOR]]</f>
        <v>2010</v>
      </c>
    </row>
    <row r="788" spans="1:13" ht="13.5" customHeight="1" x14ac:dyDescent="0.2">
      <c r="A788" s="1">
        <v>5889</v>
      </c>
      <c r="B788" s="2">
        <v>45472</v>
      </c>
      <c r="C788" s="3" t="s">
        <v>106</v>
      </c>
      <c r="D788" s="1" t="s">
        <v>18</v>
      </c>
      <c r="E788" s="1" t="s">
        <v>23</v>
      </c>
      <c r="F788" s="4">
        <v>6625400</v>
      </c>
      <c r="G788" s="4">
        <v>5606100</v>
      </c>
      <c r="H788" s="4">
        <v>799740</v>
      </c>
      <c r="I788" s="4">
        <v>77460</v>
      </c>
      <c r="J788" s="4">
        <v>8300</v>
      </c>
      <c r="K788" s="4">
        <v>982050</v>
      </c>
      <c r="L788" s="4">
        <v>843650</v>
      </c>
      <c r="M788" s="4">
        <f>Tabla1[[#This Row],[BASE DEL DIA]]+Tabla1[[#This Row],[ENTREGAS]]+Tabla1[[#This Row],[TARJETAS]]+Tabla1[[#This Row],[NEQUI O QR]]+Tabla1[[#This Row],[VENTAS FE.CREDITO]]-Tabla1[[#This Row],[VENTAS NETAS]]-Tabla1[[#This Row],[BASE ANTERIOR]]</f>
        <v>4600</v>
      </c>
    </row>
    <row r="789" spans="1:13" ht="13.5" customHeight="1" x14ac:dyDescent="0.2">
      <c r="A789" s="1">
        <v>5888</v>
      </c>
      <c r="B789" s="2">
        <v>45472</v>
      </c>
      <c r="C789" s="3" t="s">
        <v>89</v>
      </c>
      <c r="D789" s="1" t="s">
        <v>17</v>
      </c>
      <c r="E789" s="1" t="s">
        <v>22</v>
      </c>
      <c r="F789" s="4">
        <v>3489800</v>
      </c>
      <c r="G789" s="4">
        <v>3273800</v>
      </c>
      <c r="H789" s="4">
        <v>210100</v>
      </c>
      <c r="I789" s="4">
        <v>0</v>
      </c>
      <c r="J789" s="4">
        <v>7200</v>
      </c>
      <c r="K789" s="4">
        <v>843650</v>
      </c>
      <c r="L789" s="4">
        <v>844750</v>
      </c>
      <c r="M789" s="4">
        <f>Tabla1[[#This Row],[BASE DEL DIA]]+Tabla1[[#This Row],[ENTREGAS]]+Tabla1[[#This Row],[TARJETAS]]+Tabla1[[#This Row],[NEQUI O QR]]+Tabla1[[#This Row],[VENTAS FE.CREDITO]]-Tabla1[[#This Row],[VENTAS NETAS]]-Tabla1[[#This Row],[BASE ANTERIOR]]</f>
        <v>200</v>
      </c>
    </row>
    <row r="790" spans="1:13" ht="13.5" customHeight="1" x14ac:dyDescent="0.2">
      <c r="A790" s="1">
        <v>5887</v>
      </c>
      <c r="B790" s="2">
        <v>45471</v>
      </c>
      <c r="C790" s="3" t="s">
        <v>42</v>
      </c>
      <c r="D790" s="1" t="s">
        <v>17</v>
      </c>
      <c r="E790" s="1" t="s">
        <v>23</v>
      </c>
      <c r="F790" s="4">
        <v>4319750</v>
      </c>
      <c r="G790" s="4">
        <v>3512400</v>
      </c>
      <c r="H790" s="4">
        <v>846700</v>
      </c>
      <c r="I790" s="4">
        <v>36300</v>
      </c>
      <c r="J790" s="4">
        <v>2800</v>
      </c>
      <c r="K790" s="4">
        <v>844750</v>
      </c>
      <c r="L790" s="4">
        <v>923900</v>
      </c>
      <c r="M790" s="4">
        <f>Tabla1[[#This Row],[BASE DEL DIA]]+Tabla1[[#This Row],[ENTREGAS]]+Tabla1[[#This Row],[TARJETAS]]+Tabla1[[#This Row],[NEQUI O QR]]+Tabla1[[#This Row],[VENTAS FE.CREDITO]]-Tabla1[[#This Row],[VENTAS NETAS]]-Tabla1[[#This Row],[BASE ANTERIOR]]</f>
        <v>-700</v>
      </c>
    </row>
    <row r="791" spans="1:13" ht="13.5" customHeight="1" x14ac:dyDescent="0.2">
      <c r="A791" s="1">
        <v>5886</v>
      </c>
      <c r="B791" s="2">
        <v>45471</v>
      </c>
      <c r="C791" s="3" t="s">
        <v>125</v>
      </c>
      <c r="D791" s="1" t="s">
        <v>18</v>
      </c>
      <c r="E791" s="1" t="s">
        <v>22</v>
      </c>
      <c r="F791" s="4">
        <v>2098820</v>
      </c>
      <c r="G791" s="4">
        <v>2040400</v>
      </c>
      <c r="H791" s="4">
        <v>140020</v>
      </c>
      <c r="I791" s="4">
        <v>0</v>
      </c>
      <c r="J791" s="4">
        <v>0</v>
      </c>
      <c r="K791" s="4">
        <v>923900</v>
      </c>
      <c r="L791" s="4">
        <v>1003000</v>
      </c>
      <c r="M791" s="4">
        <f>Tabla1[[#This Row],[BASE DEL DIA]]+Tabla1[[#This Row],[ENTREGAS]]+Tabla1[[#This Row],[TARJETAS]]+Tabla1[[#This Row],[NEQUI O QR]]+Tabla1[[#This Row],[VENTAS FE.CREDITO]]-Tabla1[[#This Row],[VENTAS NETAS]]-Tabla1[[#This Row],[BASE ANTERIOR]]</f>
        <v>2500</v>
      </c>
    </row>
    <row r="792" spans="1:13" ht="13.5" customHeight="1" x14ac:dyDescent="0.2">
      <c r="A792" s="1">
        <v>5885</v>
      </c>
      <c r="B792" s="2">
        <v>45470</v>
      </c>
      <c r="C792" s="3" t="s">
        <v>96</v>
      </c>
      <c r="D792" s="1" t="s">
        <v>18</v>
      </c>
      <c r="E792" s="1" t="s">
        <v>23</v>
      </c>
      <c r="F792" s="4">
        <v>3119570</v>
      </c>
      <c r="G792" s="4">
        <v>3010000</v>
      </c>
      <c r="H792" s="4">
        <v>91760</v>
      </c>
      <c r="I792" s="4">
        <v>0</v>
      </c>
      <c r="J792" s="4">
        <v>17500</v>
      </c>
      <c r="K792" s="4">
        <v>1003000</v>
      </c>
      <c r="L792" s="4">
        <v>999600</v>
      </c>
      <c r="M792" s="4">
        <f>Tabla1[[#This Row],[BASE DEL DIA]]+Tabla1[[#This Row],[ENTREGAS]]+Tabla1[[#This Row],[TARJETAS]]+Tabla1[[#This Row],[NEQUI O QR]]+Tabla1[[#This Row],[VENTAS FE.CREDITO]]-Tabla1[[#This Row],[VENTAS NETAS]]-Tabla1[[#This Row],[BASE ANTERIOR]]</f>
        <v>3090</v>
      </c>
    </row>
    <row r="793" spans="1:13" ht="13.5" customHeight="1" x14ac:dyDescent="0.2">
      <c r="A793" s="1">
        <v>5884</v>
      </c>
      <c r="B793" s="2">
        <v>45470</v>
      </c>
      <c r="C793" s="3" t="s">
        <v>80</v>
      </c>
      <c r="D793" s="1" t="s">
        <v>19</v>
      </c>
      <c r="E793" s="1" t="s">
        <v>22</v>
      </c>
      <c r="F793" s="4">
        <v>4807560</v>
      </c>
      <c r="G793" s="4">
        <v>4482800</v>
      </c>
      <c r="H793" s="4">
        <v>260100</v>
      </c>
      <c r="I793" s="4">
        <v>35600</v>
      </c>
      <c r="J793" s="4">
        <v>97700</v>
      </c>
      <c r="K793" s="4">
        <v>999600</v>
      </c>
      <c r="L793" s="4">
        <v>1068200</v>
      </c>
      <c r="M793" s="4">
        <f>Tabla1[[#This Row],[BASE DEL DIA]]+Tabla1[[#This Row],[ENTREGAS]]+Tabla1[[#This Row],[TARJETAS]]+Tabla1[[#This Row],[NEQUI O QR]]+Tabla1[[#This Row],[VENTAS FE.CREDITO]]-Tabla1[[#This Row],[VENTAS NETAS]]-Tabla1[[#This Row],[BASE ANTERIOR]]</f>
        <v>40</v>
      </c>
    </row>
    <row r="794" spans="1:13" ht="13.5" customHeight="1" x14ac:dyDescent="0.2">
      <c r="A794" s="1">
        <v>5883</v>
      </c>
      <c r="B794" s="2">
        <v>45469</v>
      </c>
      <c r="C794" s="3" t="s">
        <v>61</v>
      </c>
      <c r="D794" s="1" t="s">
        <v>18</v>
      </c>
      <c r="E794" s="1" t="s">
        <v>22</v>
      </c>
      <c r="F794" s="4">
        <v>2288720</v>
      </c>
      <c r="G794" s="4">
        <v>1984650</v>
      </c>
      <c r="H794" s="4">
        <v>243760</v>
      </c>
      <c r="I794" s="4">
        <v>0</v>
      </c>
      <c r="J794" s="4">
        <v>26100</v>
      </c>
      <c r="K794" s="4">
        <v>1068200</v>
      </c>
      <c r="L794" s="4">
        <v>1032750</v>
      </c>
      <c r="M794" s="4">
        <f>Tabla1[[#This Row],[BASE DEL DIA]]+Tabla1[[#This Row],[ENTREGAS]]+Tabla1[[#This Row],[TARJETAS]]+Tabla1[[#This Row],[NEQUI O QR]]+Tabla1[[#This Row],[VENTAS FE.CREDITO]]-Tabla1[[#This Row],[VENTAS NETAS]]-Tabla1[[#This Row],[BASE ANTERIOR]]</f>
        <v>1240</v>
      </c>
    </row>
    <row r="795" spans="1:13" ht="13.5" customHeight="1" x14ac:dyDescent="0.2">
      <c r="A795" s="1">
        <v>5882</v>
      </c>
      <c r="B795" s="2">
        <v>45468</v>
      </c>
      <c r="C795" s="3" t="s">
        <v>110</v>
      </c>
      <c r="D795" s="1" t="s">
        <v>18</v>
      </c>
      <c r="E795" s="1" t="s">
        <v>23</v>
      </c>
      <c r="F795" s="4">
        <v>3501480</v>
      </c>
      <c r="G795" s="4">
        <v>3143800</v>
      </c>
      <c r="H795" s="4">
        <v>273180</v>
      </c>
      <c r="I795" s="4">
        <v>0</v>
      </c>
      <c r="J795" s="4">
        <v>0</v>
      </c>
      <c r="K795" s="4">
        <v>1032750</v>
      </c>
      <c r="L795" s="4">
        <v>945150</v>
      </c>
      <c r="M795" s="4">
        <f>Tabla1[[#This Row],[BASE DEL DIA]]+Tabla1[[#This Row],[ENTREGAS]]+Tabla1[[#This Row],[TARJETAS]]+Tabla1[[#This Row],[NEQUI O QR]]+Tabla1[[#This Row],[VENTAS FE.CREDITO]]-Tabla1[[#This Row],[VENTAS NETAS]]-Tabla1[[#This Row],[BASE ANTERIOR]]</f>
        <v>3100</v>
      </c>
    </row>
    <row r="796" spans="1:13" ht="13.5" customHeight="1" x14ac:dyDescent="0.2">
      <c r="A796" s="1">
        <v>5881</v>
      </c>
      <c r="B796" s="2">
        <v>45468</v>
      </c>
      <c r="C796" s="3" t="s">
        <v>131</v>
      </c>
      <c r="D796" s="1" t="s">
        <v>17</v>
      </c>
      <c r="E796" s="1" t="s">
        <v>22</v>
      </c>
      <c r="F796" s="4">
        <v>2923100</v>
      </c>
      <c r="G796" s="4">
        <v>2789350</v>
      </c>
      <c r="H796" s="4">
        <v>150100</v>
      </c>
      <c r="I796" s="4">
        <v>0</v>
      </c>
      <c r="J796" s="4">
        <v>0</v>
      </c>
      <c r="K796" s="4">
        <v>945150</v>
      </c>
      <c r="L796" s="4">
        <v>945300</v>
      </c>
      <c r="M796" s="4">
        <f>Tabla1[[#This Row],[BASE DEL DIA]]+Tabla1[[#This Row],[ENTREGAS]]+Tabla1[[#This Row],[TARJETAS]]+Tabla1[[#This Row],[NEQUI O QR]]+Tabla1[[#This Row],[VENTAS FE.CREDITO]]-Tabla1[[#This Row],[VENTAS NETAS]]-Tabla1[[#This Row],[BASE ANTERIOR]]</f>
        <v>16200</v>
      </c>
    </row>
    <row r="797" spans="1:13" ht="13.5" customHeight="1" x14ac:dyDescent="0.2">
      <c r="A797" s="1">
        <v>5880</v>
      </c>
      <c r="B797" s="2">
        <v>45467</v>
      </c>
      <c r="C797" s="3" t="s">
        <v>63</v>
      </c>
      <c r="D797" s="1" t="s">
        <v>17</v>
      </c>
      <c r="E797" s="1" t="s">
        <v>23</v>
      </c>
      <c r="F797" s="4">
        <v>4465850</v>
      </c>
      <c r="G797" s="4">
        <v>3995200</v>
      </c>
      <c r="H797" s="4">
        <v>360200</v>
      </c>
      <c r="I797" s="4">
        <v>21000</v>
      </c>
      <c r="J797" s="4">
        <v>38700</v>
      </c>
      <c r="K797" s="4">
        <v>945300</v>
      </c>
      <c r="L797" s="4">
        <v>878250</v>
      </c>
      <c r="M797" s="4">
        <f>Tabla1[[#This Row],[BASE DEL DIA]]+Tabla1[[#This Row],[ENTREGAS]]+Tabla1[[#This Row],[TARJETAS]]+Tabla1[[#This Row],[NEQUI O QR]]+Tabla1[[#This Row],[VENTAS FE.CREDITO]]-Tabla1[[#This Row],[VENTAS NETAS]]-Tabla1[[#This Row],[BASE ANTERIOR]]</f>
        <v>16300</v>
      </c>
    </row>
    <row r="798" spans="1:13" ht="13.5" customHeight="1" x14ac:dyDescent="0.2">
      <c r="A798" s="1">
        <v>5879</v>
      </c>
      <c r="B798" s="2">
        <v>45467</v>
      </c>
      <c r="C798" s="3" t="s">
        <v>116</v>
      </c>
      <c r="D798" s="1" t="s">
        <v>18</v>
      </c>
      <c r="E798" s="1" t="s">
        <v>23</v>
      </c>
      <c r="F798" s="4">
        <v>3224860</v>
      </c>
      <c r="G798" s="4">
        <v>2538900</v>
      </c>
      <c r="H798" s="4">
        <v>699060</v>
      </c>
      <c r="I798" s="4">
        <v>64200</v>
      </c>
      <c r="J798" s="4">
        <v>3000</v>
      </c>
      <c r="K798" s="4">
        <v>878250</v>
      </c>
      <c r="L798" s="4">
        <v>956650</v>
      </c>
      <c r="M798" s="4">
        <f>Tabla1[[#This Row],[BASE DEL DIA]]+Tabla1[[#This Row],[ENTREGAS]]+Tabla1[[#This Row],[TARJETAS]]+Tabla1[[#This Row],[NEQUI O QR]]+Tabla1[[#This Row],[VENTAS FE.CREDITO]]-Tabla1[[#This Row],[VENTAS NETAS]]-Tabla1[[#This Row],[BASE ANTERIOR]]</f>
        <v>1900</v>
      </c>
    </row>
    <row r="799" spans="1:13" ht="13.5" customHeight="1" x14ac:dyDescent="0.2">
      <c r="A799" s="1">
        <v>5878</v>
      </c>
      <c r="B799" s="2">
        <v>45466</v>
      </c>
      <c r="C799" s="3" t="s">
        <v>107</v>
      </c>
      <c r="D799" s="1" t="s">
        <v>18</v>
      </c>
      <c r="E799" s="1" t="s">
        <v>23</v>
      </c>
      <c r="F799" s="4">
        <v>3563080</v>
      </c>
      <c r="G799" s="4">
        <v>3111500</v>
      </c>
      <c r="H799" s="4">
        <v>484320</v>
      </c>
      <c r="I799" s="4">
        <v>19200</v>
      </c>
      <c r="J799" s="4">
        <v>19200</v>
      </c>
      <c r="K799" s="4">
        <v>956650</v>
      </c>
      <c r="L799" s="4">
        <v>992800</v>
      </c>
      <c r="M799" s="4">
        <f>Tabla1[[#This Row],[BASE DEL DIA]]+Tabla1[[#This Row],[ENTREGAS]]+Tabla1[[#This Row],[TARJETAS]]+Tabla1[[#This Row],[NEQUI O QR]]+Tabla1[[#This Row],[VENTAS FE.CREDITO]]-Tabla1[[#This Row],[VENTAS NETAS]]-Tabla1[[#This Row],[BASE ANTERIOR]]</f>
        <v>34990</v>
      </c>
    </row>
    <row r="800" spans="1:13" ht="13.5" customHeight="1" x14ac:dyDescent="0.2">
      <c r="A800" s="1">
        <v>5877</v>
      </c>
      <c r="B800" s="2">
        <v>45466</v>
      </c>
      <c r="C800" s="3" t="s">
        <v>101</v>
      </c>
      <c r="D800" s="1" t="s">
        <v>20</v>
      </c>
      <c r="E800" s="1" t="s">
        <v>22</v>
      </c>
      <c r="F800" s="4">
        <v>4085653</v>
      </c>
      <c r="G800" s="4">
        <v>3530000</v>
      </c>
      <c r="H800" s="4">
        <v>139000</v>
      </c>
      <c r="I800" s="4">
        <v>8000</v>
      </c>
      <c r="J800" s="4">
        <v>239860</v>
      </c>
      <c r="K800" s="4">
        <v>992800</v>
      </c>
      <c r="L800" s="4">
        <v>828800</v>
      </c>
      <c r="M800" s="4">
        <f>Tabla1[[#This Row],[BASE DEL DIA]]+Tabla1[[#This Row],[ENTREGAS]]+Tabla1[[#This Row],[TARJETAS]]+Tabla1[[#This Row],[NEQUI O QR]]+Tabla1[[#This Row],[VENTAS FE.CREDITO]]-Tabla1[[#This Row],[VENTAS NETAS]]-Tabla1[[#This Row],[BASE ANTERIOR]]</f>
        <v>-4793</v>
      </c>
    </row>
    <row r="801" spans="1:13" ht="13.5" customHeight="1" x14ac:dyDescent="0.2">
      <c r="A801" s="1">
        <v>5876</v>
      </c>
      <c r="B801" s="2">
        <v>45465</v>
      </c>
      <c r="C801" s="3" t="s">
        <v>72</v>
      </c>
      <c r="D801" s="1" t="s">
        <v>17</v>
      </c>
      <c r="E801" s="1" t="s">
        <v>23</v>
      </c>
      <c r="F801" s="4">
        <v>4385250</v>
      </c>
      <c r="G801" s="4">
        <v>4005500</v>
      </c>
      <c r="H801" s="4">
        <v>286100</v>
      </c>
      <c r="I801" s="4">
        <v>46700</v>
      </c>
      <c r="J801" s="4">
        <v>162400</v>
      </c>
      <c r="K801" s="4">
        <v>828800</v>
      </c>
      <c r="L801" s="4">
        <v>944100</v>
      </c>
      <c r="M801" s="4">
        <f>Tabla1[[#This Row],[BASE DEL DIA]]+Tabla1[[#This Row],[ENTREGAS]]+Tabla1[[#This Row],[TARJETAS]]+Tabla1[[#This Row],[NEQUI O QR]]+Tabla1[[#This Row],[VENTAS FE.CREDITO]]-Tabla1[[#This Row],[VENTAS NETAS]]-Tabla1[[#This Row],[BASE ANTERIOR]]</f>
        <v>150</v>
      </c>
    </row>
    <row r="802" spans="1:13" ht="13.5" customHeight="1" x14ac:dyDescent="0.2">
      <c r="A802" s="1">
        <v>5875</v>
      </c>
      <c r="B802" s="2">
        <v>45465</v>
      </c>
      <c r="C802" s="3" t="s">
        <v>100</v>
      </c>
      <c r="D802" s="1" t="s">
        <v>18</v>
      </c>
      <c r="E802" s="1" t="s">
        <v>22</v>
      </c>
      <c r="F802" s="4">
        <v>2584140</v>
      </c>
      <c r="G802" s="4">
        <v>2403850</v>
      </c>
      <c r="H802" s="4">
        <v>171320</v>
      </c>
      <c r="I802" s="4">
        <v>0</v>
      </c>
      <c r="J802" s="4">
        <v>4600</v>
      </c>
      <c r="K802" s="4">
        <v>944100</v>
      </c>
      <c r="L802" s="4">
        <v>937250</v>
      </c>
      <c r="M802" s="4">
        <f>Tabla1[[#This Row],[BASE DEL DIA]]+Tabla1[[#This Row],[ENTREGAS]]+Tabla1[[#This Row],[TARJETAS]]+Tabla1[[#This Row],[NEQUI O QR]]+Tabla1[[#This Row],[VENTAS FE.CREDITO]]-Tabla1[[#This Row],[VENTAS NETAS]]-Tabla1[[#This Row],[BASE ANTERIOR]]</f>
        <v>2480</v>
      </c>
    </row>
    <row r="803" spans="1:13" ht="13.5" customHeight="1" x14ac:dyDescent="0.2">
      <c r="A803" s="1">
        <v>5874</v>
      </c>
      <c r="B803" s="2">
        <v>45464</v>
      </c>
      <c r="C803" s="3" t="s">
        <v>130</v>
      </c>
      <c r="D803" s="1" t="s">
        <v>18</v>
      </c>
      <c r="E803" s="1" t="s">
        <v>23</v>
      </c>
      <c r="F803" s="4">
        <v>3227060</v>
      </c>
      <c r="G803" s="4">
        <v>2840000</v>
      </c>
      <c r="H803" s="4">
        <v>294180</v>
      </c>
      <c r="I803" s="4">
        <v>5000</v>
      </c>
      <c r="J803" s="4">
        <v>13500</v>
      </c>
      <c r="K803" s="4">
        <v>937250</v>
      </c>
      <c r="L803" s="4">
        <v>860450</v>
      </c>
      <c r="M803" s="4">
        <f>Tabla1[[#This Row],[BASE DEL DIA]]+Tabla1[[#This Row],[ENTREGAS]]+Tabla1[[#This Row],[TARJETAS]]+Tabla1[[#This Row],[NEQUI O QR]]+Tabla1[[#This Row],[VENTAS FE.CREDITO]]-Tabla1[[#This Row],[VENTAS NETAS]]-Tabla1[[#This Row],[BASE ANTERIOR]]</f>
        <v>2420</v>
      </c>
    </row>
    <row r="804" spans="1:13" ht="13.5" customHeight="1" x14ac:dyDescent="0.2">
      <c r="A804" s="1">
        <v>5873</v>
      </c>
      <c r="B804" s="2">
        <v>45464</v>
      </c>
      <c r="C804" s="3" t="s">
        <v>129</v>
      </c>
      <c r="D804" s="1" t="s">
        <v>17</v>
      </c>
      <c r="E804" s="1" t="s">
        <v>22</v>
      </c>
      <c r="F804" s="4">
        <v>3183780</v>
      </c>
      <c r="G804" s="4">
        <v>3086900</v>
      </c>
      <c r="H804" s="4">
        <v>58000</v>
      </c>
      <c r="I804" s="4">
        <v>0</v>
      </c>
      <c r="J804" s="4">
        <v>2300</v>
      </c>
      <c r="K804" s="4">
        <v>860450</v>
      </c>
      <c r="L804" s="4">
        <v>829100</v>
      </c>
      <c r="M804" s="4">
        <f>Tabla1[[#This Row],[BASE DEL DIA]]+Tabla1[[#This Row],[ENTREGAS]]+Tabla1[[#This Row],[TARJETAS]]+Tabla1[[#This Row],[NEQUI O QR]]+Tabla1[[#This Row],[VENTAS FE.CREDITO]]-Tabla1[[#This Row],[VENTAS NETAS]]-Tabla1[[#This Row],[BASE ANTERIOR]]</f>
        <v>-5230</v>
      </c>
    </row>
    <row r="805" spans="1:13" ht="13.5" customHeight="1" x14ac:dyDescent="0.2">
      <c r="A805" s="1">
        <v>5872</v>
      </c>
      <c r="B805" s="2">
        <v>45463</v>
      </c>
      <c r="C805" s="3" t="s">
        <v>42</v>
      </c>
      <c r="D805" s="1" t="s">
        <v>17</v>
      </c>
      <c r="E805" s="1" t="s">
        <v>23</v>
      </c>
      <c r="F805" s="4">
        <v>3674700</v>
      </c>
      <c r="G805" s="4">
        <v>3234000</v>
      </c>
      <c r="H805" s="4">
        <v>510300</v>
      </c>
      <c r="I805" s="4">
        <v>0</v>
      </c>
      <c r="J805" s="4">
        <v>11200</v>
      </c>
      <c r="K805" s="4">
        <v>829100</v>
      </c>
      <c r="L805" s="4">
        <v>909900</v>
      </c>
      <c r="M805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806" spans="1:13" ht="13.5" customHeight="1" x14ac:dyDescent="0.2">
      <c r="A806" s="1">
        <v>5871</v>
      </c>
      <c r="B806" s="2">
        <v>45463</v>
      </c>
      <c r="C806" s="3" t="s">
        <v>128</v>
      </c>
      <c r="D806" s="1" t="s">
        <v>18</v>
      </c>
      <c r="E806" s="1" t="s">
        <v>22</v>
      </c>
      <c r="F806" s="4">
        <v>2239360</v>
      </c>
      <c r="G806" s="4">
        <v>2239900</v>
      </c>
      <c r="H806" s="4">
        <v>74120</v>
      </c>
      <c r="I806" s="4">
        <v>0</v>
      </c>
      <c r="K806" s="4">
        <v>909900</v>
      </c>
      <c r="L806" s="4">
        <v>984800</v>
      </c>
      <c r="M806" s="4">
        <f>Tabla1[[#This Row],[BASE DEL DIA]]+Tabla1[[#This Row],[ENTREGAS]]+Tabla1[[#This Row],[TARJETAS]]+Tabla1[[#This Row],[NEQUI O QR]]+Tabla1[[#This Row],[VENTAS FE.CREDITO]]-Tabla1[[#This Row],[VENTAS NETAS]]-Tabla1[[#This Row],[BASE ANTERIOR]]</f>
        <v>-240</v>
      </c>
    </row>
    <row r="807" spans="1:13" ht="13.5" customHeight="1" x14ac:dyDescent="0.2">
      <c r="A807" s="1">
        <v>5870</v>
      </c>
      <c r="B807" s="2">
        <v>45462</v>
      </c>
      <c r="C807" s="3" t="s">
        <v>107</v>
      </c>
      <c r="D807" s="1" t="s">
        <v>18</v>
      </c>
      <c r="E807" s="1" t="s">
        <v>23</v>
      </c>
      <c r="F807" s="4">
        <v>3762260</v>
      </c>
      <c r="G807" s="4">
        <v>3540000</v>
      </c>
      <c r="H807" s="4">
        <v>147480</v>
      </c>
      <c r="I807" s="4">
        <v>15000</v>
      </c>
      <c r="J807" s="4">
        <v>0</v>
      </c>
      <c r="K807" s="4">
        <v>984800</v>
      </c>
      <c r="L807" s="4">
        <v>924300</v>
      </c>
      <c r="M807" s="4">
        <f>Tabla1[[#This Row],[BASE DEL DIA]]+Tabla1[[#This Row],[ENTREGAS]]+Tabla1[[#This Row],[TARJETAS]]+Tabla1[[#This Row],[NEQUI O QR]]+Tabla1[[#This Row],[VENTAS FE.CREDITO]]-Tabla1[[#This Row],[VENTAS NETAS]]-Tabla1[[#This Row],[BASE ANTERIOR]]</f>
        <v>720</v>
      </c>
    </row>
    <row r="808" spans="1:13" ht="13.5" customHeight="1" x14ac:dyDescent="0.2">
      <c r="A808" s="1">
        <v>5869</v>
      </c>
      <c r="B808" s="2">
        <v>45462</v>
      </c>
      <c r="C808" s="3" t="s">
        <v>47</v>
      </c>
      <c r="D808" s="1" t="s">
        <v>17</v>
      </c>
      <c r="E808" s="1" t="s">
        <v>22</v>
      </c>
      <c r="F808" s="4">
        <v>1803560</v>
      </c>
      <c r="G808" s="4">
        <v>1739200</v>
      </c>
      <c r="H808" s="4">
        <v>26800</v>
      </c>
      <c r="I808" s="4">
        <v>0</v>
      </c>
      <c r="J808" s="4">
        <v>17800</v>
      </c>
      <c r="K808" s="4">
        <v>924300</v>
      </c>
      <c r="L808" s="4">
        <v>903550</v>
      </c>
      <c r="M808" s="4">
        <f>Tabla1[[#This Row],[BASE DEL DIA]]+Tabla1[[#This Row],[ENTREGAS]]+Tabla1[[#This Row],[TARJETAS]]+Tabla1[[#This Row],[NEQUI O QR]]+Tabla1[[#This Row],[VENTAS FE.CREDITO]]-Tabla1[[#This Row],[VENTAS NETAS]]-Tabla1[[#This Row],[BASE ANTERIOR]]</f>
        <v>990</v>
      </c>
    </row>
    <row r="809" spans="1:13" ht="13.5" customHeight="1" x14ac:dyDescent="0.2">
      <c r="A809" s="1">
        <v>5868</v>
      </c>
      <c r="B809" s="2">
        <v>45461</v>
      </c>
      <c r="C809" s="3" t="s">
        <v>56</v>
      </c>
      <c r="D809" s="1" t="s">
        <v>17</v>
      </c>
      <c r="E809" s="1" t="s">
        <v>23</v>
      </c>
      <c r="F809" s="4">
        <v>4574100</v>
      </c>
      <c r="G809" s="4">
        <v>4323500</v>
      </c>
      <c r="H809" s="4">
        <v>157600</v>
      </c>
      <c r="I809" s="4">
        <v>51200</v>
      </c>
      <c r="J809" s="4">
        <v>25100</v>
      </c>
      <c r="K809" s="4">
        <v>903550</v>
      </c>
      <c r="L809" s="4">
        <v>888750</v>
      </c>
      <c r="M809" s="4">
        <f>Tabla1[[#This Row],[BASE DEL DIA]]+Tabla1[[#This Row],[ENTREGAS]]+Tabla1[[#This Row],[TARJETAS]]+Tabla1[[#This Row],[NEQUI O QR]]+Tabla1[[#This Row],[VENTAS FE.CREDITO]]-Tabla1[[#This Row],[VENTAS NETAS]]-Tabla1[[#This Row],[BASE ANTERIOR]]</f>
        <v>-1900</v>
      </c>
    </row>
    <row r="810" spans="1:13" ht="13.5" customHeight="1" x14ac:dyDescent="0.2">
      <c r="A810" s="1">
        <v>5867</v>
      </c>
      <c r="B810" s="2">
        <v>45461</v>
      </c>
      <c r="C810" s="3" t="s">
        <v>57</v>
      </c>
      <c r="D810" s="1" t="s">
        <v>18</v>
      </c>
      <c r="E810" s="1" t="s">
        <v>22</v>
      </c>
      <c r="F810" s="4">
        <v>3784340</v>
      </c>
      <c r="G810" s="4">
        <v>3632450</v>
      </c>
      <c r="H810" s="4">
        <v>162460</v>
      </c>
      <c r="I810" s="4">
        <v>0</v>
      </c>
      <c r="J810" s="4">
        <v>0</v>
      </c>
      <c r="K810" s="4">
        <v>888750</v>
      </c>
      <c r="L810" s="4">
        <v>892400</v>
      </c>
      <c r="M810" s="4">
        <f>Tabla1[[#This Row],[BASE DEL DIA]]+Tabla1[[#This Row],[ENTREGAS]]+Tabla1[[#This Row],[TARJETAS]]+Tabla1[[#This Row],[NEQUI O QR]]+Tabla1[[#This Row],[VENTAS FE.CREDITO]]-Tabla1[[#This Row],[VENTAS NETAS]]-Tabla1[[#This Row],[BASE ANTERIOR]]</f>
        <v>6920</v>
      </c>
    </row>
    <row r="811" spans="1:13" ht="13.5" customHeight="1" x14ac:dyDescent="0.2">
      <c r="A811" s="1">
        <v>5865</v>
      </c>
      <c r="B811" s="2">
        <v>45460</v>
      </c>
      <c r="C811" s="3" t="s">
        <v>48</v>
      </c>
      <c r="D811" s="1" t="s">
        <v>18</v>
      </c>
      <c r="E811" s="1" t="s">
        <v>23</v>
      </c>
      <c r="F811" s="4">
        <v>6475390</v>
      </c>
      <c r="G811" s="4">
        <v>5540000</v>
      </c>
      <c r="H811" s="4">
        <v>392340</v>
      </c>
      <c r="I811" s="4">
        <v>534300</v>
      </c>
      <c r="J811" s="4">
        <v>3300</v>
      </c>
      <c r="K811" s="4">
        <v>892400</v>
      </c>
      <c r="L811" s="4">
        <v>883800</v>
      </c>
      <c r="M811" s="4">
        <f>Tabla1[[#This Row],[BASE DEL DIA]]+Tabla1[[#This Row],[ENTREGAS]]+Tabla1[[#This Row],[TARJETAS]]+Tabla1[[#This Row],[NEQUI O QR]]+Tabla1[[#This Row],[VENTAS FE.CREDITO]]-Tabla1[[#This Row],[VENTAS NETAS]]-Tabla1[[#This Row],[BASE ANTERIOR]]</f>
        <v>3150</v>
      </c>
    </row>
    <row r="812" spans="1:13" ht="13.5" customHeight="1" x14ac:dyDescent="0.2">
      <c r="A812" s="1">
        <v>5864</v>
      </c>
      <c r="B812" s="2">
        <v>45459</v>
      </c>
      <c r="C812" s="3" t="s">
        <v>106</v>
      </c>
      <c r="D812" s="1" t="s">
        <v>18</v>
      </c>
      <c r="E812" s="1" t="s">
        <v>23</v>
      </c>
      <c r="F812" s="4">
        <v>5732130</v>
      </c>
      <c r="G812" s="4">
        <v>5410000</v>
      </c>
      <c r="H812" s="4">
        <v>354640</v>
      </c>
      <c r="I812" s="4">
        <v>18400</v>
      </c>
      <c r="J812" s="4">
        <v>0</v>
      </c>
      <c r="K812" s="4">
        <v>967300</v>
      </c>
      <c r="L812" s="4">
        <v>1010600</v>
      </c>
      <c r="M812" s="4">
        <f>Tabla1[[#This Row],[BASE DEL DIA]]+Tabla1[[#This Row],[ENTREGAS]]+Tabla1[[#This Row],[TARJETAS]]+Tabla1[[#This Row],[NEQUI O QR]]+Tabla1[[#This Row],[VENTAS FE.CREDITO]]-Tabla1[[#This Row],[VENTAS NETAS]]-Tabla1[[#This Row],[BASE ANTERIOR]]</f>
        <v>7610</v>
      </c>
    </row>
    <row r="813" spans="1:13" ht="13.5" customHeight="1" x14ac:dyDescent="0.2">
      <c r="A813" s="1">
        <v>5863</v>
      </c>
      <c r="B813" s="2">
        <v>45459</v>
      </c>
      <c r="C813" s="3" t="s">
        <v>127</v>
      </c>
      <c r="D813" s="1" t="s">
        <v>20</v>
      </c>
      <c r="E813" s="1" t="s">
        <v>22</v>
      </c>
      <c r="F813" s="4">
        <v>4469000</v>
      </c>
      <c r="G813" s="4">
        <v>4320000</v>
      </c>
      <c r="H813" s="4">
        <v>129300</v>
      </c>
      <c r="I813" s="4">
        <v>8200</v>
      </c>
      <c r="K813" s="4">
        <v>1010600</v>
      </c>
      <c r="L813" s="4">
        <v>988100</v>
      </c>
      <c r="M813" s="4">
        <f>Tabla1[[#This Row],[BASE DEL DIA]]+Tabla1[[#This Row],[ENTREGAS]]+Tabla1[[#This Row],[TARJETAS]]+Tabla1[[#This Row],[NEQUI O QR]]+Tabla1[[#This Row],[VENTAS FE.CREDITO]]-Tabla1[[#This Row],[VENTAS NETAS]]-Tabla1[[#This Row],[BASE ANTERIOR]]</f>
        <v>11000</v>
      </c>
    </row>
    <row r="814" spans="1:13" ht="13.5" customHeight="1" x14ac:dyDescent="0.2">
      <c r="A814" s="1">
        <v>5862</v>
      </c>
      <c r="B814" s="2">
        <v>45458</v>
      </c>
      <c r="C814" s="3" t="s">
        <v>72</v>
      </c>
      <c r="D814" s="1" t="s">
        <v>18</v>
      </c>
      <c r="E814" s="1" t="s">
        <v>23</v>
      </c>
      <c r="F814" s="4">
        <v>5209480</v>
      </c>
      <c r="G814" s="4">
        <v>4520000</v>
      </c>
      <c r="H814" s="4">
        <v>541220</v>
      </c>
      <c r="I814" s="4">
        <v>0</v>
      </c>
      <c r="J814" s="4">
        <v>3500</v>
      </c>
      <c r="K814" s="4">
        <v>988100</v>
      </c>
      <c r="L814" s="4">
        <v>840600</v>
      </c>
      <c r="M814" s="4">
        <f>Tabla1[[#This Row],[BASE DEL DIA]]+Tabla1[[#This Row],[ENTREGAS]]+Tabla1[[#This Row],[TARJETAS]]+Tabla1[[#This Row],[NEQUI O QR]]+Tabla1[[#This Row],[VENTAS FE.CREDITO]]-Tabla1[[#This Row],[VENTAS NETAS]]-Tabla1[[#This Row],[BASE ANTERIOR]]</f>
        <v>2740</v>
      </c>
    </row>
    <row r="815" spans="1:13" ht="13.5" customHeight="1" x14ac:dyDescent="0.2">
      <c r="A815" s="1">
        <v>5861</v>
      </c>
      <c r="B815" s="2">
        <v>45458</v>
      </c>
      <c r="C815" s="3" t="s">
        <v>75</v>
      </c>
      <c r="D815" s="1" t="s">
        <v>17</v>
      </c>
      <c r="E815" s="1" t="s">
        <v>22</v>
      </c>
      <c r="F815" s="4">
        <v>4061450</v>
      </c>
      <c r="G815" s="4">
        <v>3498075</v>
      </c>
      <c r="H815" s="4">
        <v>641550</v>
      </c>
      <c r="I815" s="4">
        <v>20000</v>
      </c>
      <c r="J815" s="4">
        <v>0</v>
      </c>
      <c r="K815" s="4">
        <v>840600</v>
      </c>
      <c r="L815" s="4">
        <v>940750</v>
      </c>
      <c r="M815" s="4">
        <f>Tabla1[[#This Row],[BASE DEL DIA]]+Tabla1[[#This Row],[ENTREGAS]]+Tabla1[[#This Row],[TARJETAS]]+Tabla1[[#This Row],[NEQUI O QR]]+Tabla1[[#This Row],[VENTAS FE.CREDITO]]-Tabla1[[#This Row],[VENTAS NETAS]]-Tabla1[[#This Row],[BASE ANTERIOR]]</f>
        <v>-1975</v>
      </c>
    </row>
    <row r="816" spans="1:13" ht="13.5" customHeight="1" x14ac:dyDescent="0.2">
      <c r="A816" s="1">
        <v>5860</v>
      </c>
      <c r="B816" s="2">
        <v>45457</v>
      </c>
      <c r="C816" s="3" t="s">
        <v>43</v>
      </c>
      <c r="D816" s="1" t="s">
        <v>17</v>
      </c>
      <c r="E816" s="1" t="s">
        <v>23</v>
      </c>
      <c r="F816" s="4">
        <v>3224700</v>
      </c>
      <c r="G816" s="4">
        <v>2766500</v>
      </c>
      <c r="H816" s="4">
        <v>409400</v>
      </c>
      <c r="I816" s="4">
        <v>24500</v>
      </c>
      <c r="J816" s="4">
        <v>8900</v>
      </c>
      <c r="K816" s="4">
        <v>940750</v>
      </c>
      <c r="L816" s="4">
        <v>924750</v>
      </c>
      <c r="M816" s="4">
        <f>Tabla1[[#This Row],[BASE DEL DIA]]+Tabla1[[#This Row],[ENTREGAS]]+Tabla1[[#This Row],[TARJETAS]]+Tabla1[[#This Row],[NEQUI O QR]]+Tabla1[[#This Row],[VENTAS FE.CREDITO]]-Tabla1[[#This Row],[VENTAS NETAS]]-Tabla1[[#This Row],[BASE ANTERIOR]]</f>
        <v>600</v>
      </c>
    </row>
    <row r="817" spans="1:13" ht="13.5" customHeight="1" x14ac:dyDescent="0.2">
      <c r="A817" s="1">
        <v>5859</v>
      </c>
      <c r="B817" s="2">
        <v>45457</v>
      </c>
      <c r="C817" s="3" t="s">
        <v>39</v>
      </c>
      <c r="D817" s="1" t="s">
        <v>19</v>
      </c>
      <c r="E817" s="1" t="s">
        <v>22</v>
      </c>
      <c r="F817" s="4">
        <v>2246932</v>
      </c>
      <c r="G817" s="4">
        <v>2186000</v>
      </c>
      <c r="H817" s="4">
        <v>74700</v>
      </c>
      <c r="I817" s="4">
        <v>0</v>
      </c>
      <c r="J817" s="4">
        <v>0</v>
      </c>
      <c r="K817" s="4">
        <v>924750</v>
      </c>
      <c r="L817" s="4">
        <v>930350</v>
      </c>
      <c r="M817" s="4">
        <f>Tabla1[[#This Row],[BASE DEL DIA]]+Tabla1[[#This Row],[ENTREGAS]]+Tabla1[[#This Row],[TARJETAS]]+Tabla1[[#This Row],[NEQUI O QR]]+Tabla1[[#This Row],[VENTAS FE.CREDITO]]-Tabla1[[#This Row],[VENTAS NETAS]]-Tabla1[[#This Row],[BASE ANTERIOR]]</f>
        <v>8168</v>
      </c>
    </row>
    <row r="818" spans="1:13" ht="13.5" customHeight="1" x14ac:dyDescent="0.2">
      <c r="A818" s="1">
        <v>5858</v>
      </c>
      <c r="B818" s="2">
        <v>45456</v>
      </c>
      <c r="C818" s="3" t="s">
        <v>42</v>
      </c>
      <c r="D818" s="1" t="s">
        <v>17</v>
      </c>
      <c r="E818" s="1" t="s">
        <v>24</v>
      </c>
      <c r="F818" s="4">
        <v>7009400</v>
      </c>
      <c r="G818" s="4">
        <v>6404050</v>
      </c>
      <c r="H818" s="4">
        <v>566250</v>
      </c>
      <c r="I818" s="4">
        <v>8000</v>
      </c>
      <c r="J818" s="4">
        <v>0</v>
      </c>
      <c r="K818" s="4">
        <v>930350</v>
      </c>
      <c r="L818" s="4">
        <v>893650</v>
      </c>
      <c r="M818" s="4">
        <f>Tabla1[[#This Row],[BASE DEL DIA]]+Tabla1[[#This Row],[ENTREGAS]]+Tabla1[[#This Row],[TARJETAS]]+Tabla1[[#This Row],[NEQUI O QR]]+Tabla1[[#This Row],[VENTAS FE.CREDITO]]-Tabla1[[#This Row],[VENTAS NETAS]]-Tabla1[[#This Row],[BASE ANTERIOR]]</f>
        <v>5600</v>
      </c>
    </row>
    <row r="819" spans="1:13" ht="13.5" customHeight="1" x14ac:dyDescent="0.2">
      <c r="A819" s="1">
        <v>5857</v>
      </c>
      <c r="B819" s="2">
        <v>45455</v>
      </c>
      <c r="C819" s="3" t="s">
        <v>42</v>
      </c>
      <c r="D819" s="1" t="s">
        <v>17</v>
      </c>
      <c r="E819" s="1" t="s">
        <v>22</v>
      </c>
      <c r="F819" s="4">
        <v>3209600</v>
      </c>
      <c r="G819" s="4">
        <v>3080400</v>
      </c>
      <c r="H819" s="4">
        <v>150200</v>
      </c>
      <c r="I819" s="4">
        <v>37000</v>
      </c>
      <c r="J819" s="4">
        <v>5400</v>
      </c>
      <c r="K819" s="4">
        <v>893650</v>
      </c>
      <c r="L819" s="4">
        <v>955000</v>
      </c>
      <c r="M819" s="4">
        <f>Tabla1[[#This Row],[BASE DEL DIA]]+Tabla1[[#This Row],[ENTREGAS]]+Tabla1[[#This Row],[TARJETAS]]+Tabla1[[#This Row],[NEQUI O QR]]+Tabla1[[#This Row],[VENTAS FE.CREDITO]]-Tabla1[[#This Row],[VENTAS NETAS]]-Tabla1[[#This Row],[BASE ANTERIOR]]</f>
        <v>2050</v>
      </c>
    </row>
    <row r="820" spans="1:13" ht="13.5" customHeight="1" x14ac:dyDescent="0.2">
      <c r="A820" s="1">
        <v>5856</v>
      </c>
      <c r="B820" s="2">
        <v>45455</v>
      </c>
      <c r="C820" s="3" t="s">
        <v>126</v>
      </c>
      <c r="D820" s="1" t="s">
        <v>19</v>
      </c>
      <c r="E820" s="1" t="s">
        <v>22</v>
      </c>
      <c r="F820" s="4">
        <v>2095500</v>
      </c>
      <c r="G820" s="4">
        <v>1934000</v>
      </c>
      <c r="H820" s="4">
        <v>43400</v>
      </c>
      <c r="I820" s="4">
        <v>0</v>
      </c>
      <c r="J820" s="4">
        <v>9100</v>
      </c>
      <c r="K820" s="4">
        <v>955000</v>
      </c>
      <c r="L820" s="4">
        <v>866100</v>
      </c>
      <c r="M820" s="4">
        <f>Tabla1[[#This Row],[BASE DEL DIA]]+Tabla1[[#This Row],[ENTREGAS]]+Tabla1[[#This Row],[TARJETAS]]+Tabla1[[#This Row],[NEQUI O QR]]+Tabla1[[#This Row],[VENTAS FE.CREDITO]]-Tabla1[[#This Row],[VENTAS NETAS]]-Tabla1[[#This Row],[BASE ANTERIOR]]</f>
        <v>-20100</v>
      </c>
    </row>
    <row r="821" spans="1:13" ht="13.5" customHeight="1" x14ac:dyDescent="0.2">
      <c r="A821" s="1">
        <v>5855</v>
      </c>
      <c r="B821" s="2">
        <v>45454</v>
      </c>
      <c r="C821" s="3" t="s">
        <v>107</v>
      </c>
      <c r="D821" s="1" t="s">
        <v>98</v>
      </c>
      <c r="E821" s="1" t="s">
        <v>23</v>
      </c>
      <c r="F821" s="4">
        <v>4104200</v>
      </c>
      <c r="G821" s="4">
        <v>3682000</v>
      </c>
      <c r="H821" s="4">
        <v>428500</v>
      </c>
      <c r="I821" s="4">
        <v>22500</v>
      </c>
      <c r="J821" s="4">
        <v>0</v>
      </c>
      <c r="K821" s="4">
        <v>866100</v>
      </c>
      <c r="L821" s="4">
        <v>893450</v>
      </c>
      <c r="M821" s="4">
        <f>Tabla1[[#This Row],[BASE DEL DIA]]+Tabla1[[#This Row],[ENTREGAS]]+Tabla1[[#This Row],[TARJETAS]]+Tabla1[[#This Row],[NEQUI O QR]]+Tabla1[[#This Row],[VENTAS FE.CREDITO]]-Tabla1[[#This Row],[VENTAS NETAS]]-Tabla1[[#This Row],[BASE ANTERIOR]]</f>
        <v>1450</v>
      </c>
    </row>
    <row r="822" spans="1:13" ht="13.5" customHeight="1" x14ac:dyDescent="0.2">
      <c r="A822" s="1">
        <v>5854</v>
      </c>
      <c r="B822" s="2">
        <v>45454</v>
      </c>
      <c r="C822" s="3" t="s">
        <v>55</v>
      </c>
      <c r="D822" s="1" t="s">
        <v>17</v>
      </c>
      <c r="E822" s="1" t="s">
        <v>22</v>
      </c>
      <c r="F822" s="4">
        <v>2686000</v>
      </c>
      <c r="G822" s="4">
        <v>2620900</v>
      </c>
      <c r="H822" s="4">
        <v>80800</v>
      </c>
      <c r="I822" s="4">
        <v>0</v>
      </c>
      <c r="J822" s="4">
        <v>0</v>
      </c>
      <c r="K822" s="4">
        <v>893450</v>
      </c>
      <c r="L822" s="4">
        <v>907850</v>
      </c>
      <c r="M822" s="4">
        <f>Tabla1[[#This Row],[BASE DEL DIA]]+Tabla1[[#This Row],[ENTREGAS]]+Tabla1[[#This Row],[TARJETAS]]+Tabla1[[#This Row],[NEQUI O QR]]+Tabla1[[#This Row],[VENTAS FE.CREDITO]]-Tabla1[[#This Row],[VENTAS NETAS]]-Tabla1[[#This Row],[BASE ANTERIOR]]</f>
        <v>1300</v>
      </c>
    </row>
    <row r="823" spans="1:13" ht="13.5" customHeight="1" x14ac:dyDescent="0.2">
      <c r="A823" s="1">
        <v>5853</v>
      </c>
      <c r="B823" s="2">
        <v>45453</v>
      </c>
      <c r="C823" s="3" t="s">
        <v>73</v>
      </c>
      <c r="D823" s="1" t="s">
        <v>17</v>
      </c>
      <c r="E823" s="1" t="s">
        <v>23</v>
      </c>
      <c r="F823" s="4">
        <v>4090550</v>
      </c>
      <c r="G823" s="4">
        <v>3915800</v>
      </c>
      <c r="H823" s="4">
        <v>166400</v>
      </c>
      <c r="I823" s="4">
        <v>19800</v>
      </c>
      <c r="J823" s="4">
        <v>24700</v>
      </c>
      <c r="K823" s="4">
        <v>907850</v>
      </c>
      <c r="L823" s="4">
        <v>944500</v>
      </c>
      <c r="M823" s="4">
        <f>Tabla1[[#This Row],[BASE DEL DIA]]+Tabla1[[#This Row],[ENTREGAS]]+Tabla1[[#This Row],[TARJETAS]]+Tabla1[[#This Row],[NEQUI O QR]]+Tabla1[[#This Row],[VENTAS FE.CREDITO]]-Tabla1[[#This Row],[VENTAS NETAS]]-Tabla1[[#This Row],[BASE ANTERIOR]]</f>
        <v>-500</v>
      </c>
    </row>
    <row r="824" spans="1:13" ht="13.5" customHeight="1" x14ac:dyDescent="0.2">
      <c r="A824" s="1">
        <v>5852</v>
      </c>
      <c r="B824" s="2">
        <v>45453</v>
      </c>
      <c r="C824" s="3" t="s">
        <v>39</v>
      </c>
      <c r="D824" s="1" t="s">
        <v>19</v>
      </c>
      <c r="E824" s="1" t="s">
        <v>22</v>
      </c>
      <c r="F824" s="4">
        <v>2274600</v>
      </c>
      <c r="G824" s="4">
        <v>2056800</v>
      </c>
      <c r="H824" s="4">
        <v>137600</v>
      </c>
      <c r="I824" s="4">
        <v>0</v>
      </c>
      <c r="J824" s="4">
        <v>2000</v>
      </c>
      <c r="K824" s="4">
        <v>944500</v>
      </c>
      <c r="L824" s="4">
        <v>864800</v>
      </c>
      <c r="M824" s="4">
        <f>Tabla1[[#This Row],[BASE DEL DIA]]+Tabla1[[#This Row],[ENTREGAS]]+Tabla1[[#This Row],[TARJETAS]]+Tabla1[[#This Row],[NEQUI O QR]]+Tabla1[[#This Row],[VENTAS FE.CREDITO]]-Tabla1[[#This Row],[VENTAS NETAS]]-Tabla1[[#This Row],[BASE ANTERIOR]]</f>
        <v>1500</v>
      </c>
    </row>
    <row r="825" spans="1:13" ht="13.5" customHeight="1" x14ac:dyDescent="0.2">
      <c r="A825" s="1">
        <v>5851</v>
      </c>
      <c r="B825" s="2">
        <v>45452</v>
      </c>
      <c r="C825" s="3" t="s">
        <v>73</v>
      </c>
      <c r="D825" s="1" t="s">
        <v>17</v>
      </c>
      <c r="E825" s="1" t="s">
        <v>23</v>
      </c>
      <c r="F825" s="4">
        <v>4754700</v>
      </c>
      <c r="G825" s="4">
        <v>4448000</v>
      </c>
      <c r="H825" s="4">
        <v>308000</v>
      </c>
      <c r="I825" s="4">
        <v>26700</v>
      </c>
      <c r="J825" s="4">
        <v>10600</v>
      </c>
      <c r="K825" s="4">
        <v>864800</v>
      </c>
      <c r="L825" s="4">
        <v>905400</v>
      </c>
      <c r="M825" s="4">
        <f>Tabla1[[#This Row],[BASE DEL DIA]]+Tabla1[[#This Row],[ENTREGAS]]+Tabla1[[#This Row],[TARJETAS]]+Tabla1[[#This Row],[NEQUI O QR]]+Tabla1[[#This Row],[VENTAS FE.CREDITO]]-Tabla1[[#This Row],[VENTAS NETAS]]-Tabla1[[#This Row],[BASE ANTERIOR]]</f>
        <v>-2000</v>
      </c>
    </row>
    <row r="826" spans="1:13" ht="13.5" customHeight="1" x14ac:dyDescent="0.2">
      <c r="A826" s="1">
        <v>5850</v>
      </c>
      <c r="B826" s="2">
        <v>45452</v>
      </c>
      <c r="C826" s="3" t="s">
        <v>125</v>
      </c>
      <c r="D826" s="1" t="s">
        <v>19</v>
      </c>
      <c r="E826" s="1" t="s">
        <v>22</v>
      </c>
      <c r="F826" s="4">
        <v>3466100</v>
      </c>
      <c r="G826" s="4">
        <v>3316000</v>
      </c>
      <c r="H826" s="4">
        <v>122600</v>
      </c>
      <c r="J826" s="4">
        <v>2600</v>
      </c>
      <c r="K826" s="4">
        <v>905400</v>
      </c>
      <c r="L826" s="4">
        <v>884350</v>
      </c>
      <c r="M826" s="4">
        <f>Tabla1[[#This Row],[BASE DEL DIA]]+Tabla1[[#This Row],[ENTREGAS]]+Tabla1[[#This Row],[TARJETAS]]+Tabla1[[#This Row],[NEQUI O QR]]+Tabla1[[#This Row],[VENTAS FE.CREDITO]]-Tabla1[[#This Row],[VENTAS NETAS]]-Tabla1[[#This Row],[BASE ANTERIOR]]</f>
        <v>-3850</v>
      </c>
    </row>
    <row r="827" spans="1:13" ht="13.5" customHeight="1" x14ac:dyDescent="0.2">
      <c r="A827" s="1">
        <v>5849</v>
      </c>
      <c r="B827" s="2">
        <v>45451</v>
      </c>
      <c r="C827" s="3" t="s">
        <v>124</v>
      </c>
      <c r="D827" s="1" t="s">
        <v>17</v>
      </c>
      <c r="E827" s="1" t="s">
        <v>23</v>
      </c>
      <c r="F827" s="4">
        <v>3938350</v>
      </c>
      <c r="G827" s="4">
        <v>3720000</v>
      </c>
      <c r="H827" s="4">
        <v>231400</v>
      </c>
      <c r="I827" s="4">
        <v>6200</v>
      </c>
      <c r="J827" s="4">
        <v>31900</v>
      </c>
      <c r="K827" s="4">
        <v>884350</v>
      </c>
      <c r="L827" s="4">
        <v>933350</v>
      </c>
      <c r="M827" s="4">
        <f>Tabla1[[#This Row],[BASE DEL DIA]]+Tabla1[[#This Row],[ENTREGAS]]+Tabla1[[#This Row],[TARJETAS]]+Tabla1[[#This Row],[NEQUI O QR]]+Tabla1[[#This Row],[VENTAS FE.CREDITO]]-Tabla1[[#This Row],[VENTAS NETAS]]-Tabla1[[#This Row],[BASE ANTERIOR]]</f>
        <v>2150</v>
      </c>
    </row>
    <row r="828" spans="1:13" ht="13.5" customHeight="1" x14ac:dyDescent="0.2">
      <c r="A828" s="1">
        <v>5848</v>
      </c>
      <c r="B828" s="2">
        <v>45451</v>
      </c>
      <c r="C828" s="3" t="s">
        <v>74</v>
      </c>
      <c r="D828" s="1" t="s">
        <v>98</v>
      </c>
      <c r="E828" s="1" t="s">
        <v>22</v>
      </c>
      <c r="F828" s="4">
        <v>2945500</v>
      </c>
      <c r="G828" s="4">
        <v>2872000</v>
      </c>
      <c r="H828" s="4">
        <v>58100</v>
      </c>
      <c r="I828" s="4">
        <v>0</v>
      </c>
      <c r="J828" s="4">
        <v>0</v>
      </c>
      <c r="K828" s="4">
        <v>933350</v>
      </c>
      <c r="L828" s="4">
        <v>923200</v>
      </c>
      <c r="M828" s="4">
        <f>Tabla1[[#This Row],[BASE DEL DIA]]+Tabla1[[#This Row],[ENTREGAS]]+Tabla1[[#This Row],[TARJETAS]]+Tabla1[[#This Row],[NEQUI O QR]]+Tabla1[[#This Row],[VENTAS FE.CREDITO]]-Tabla1[[#This Row],[VENTAS NETAS]]-Tabla1[[#This Row],[BASE ANTERIOR]]</f>
        <v>-5250</v>
      </c>
    </row>
    <row r="829" spans="1:13" ht="13.5" customHeight="1" x14ac:dyDescent="0.2">
      <c r="A829" s="1">
        <v>5847</v>
      </c>
      <c r="B829" s="2">
        <v>45450</v>
      </c>
      <c r="C829" s="3" t="s">
        <v>83</v>
      </c>
      <c r="D829" s="1" t="s">
        <v>98</v>
      </c>
      <c r="E829" s="1" t="s">
        <v>23</v>
      </c>
      <c r="F829" s="4">
        <v>3202300</v>
      </c>
      <c r="G829" s="4">
        <v>2940700</v>
      </c>
      <c r="H829" s="4">
        <v>249700</v>
      </c>
      <c r="I829" s="4">
        <v>0</v>
      </c>
      <c r="J829" s="4">
        <v>8900</v>
      </c>
      <c r="K829" s="4">
        <v>923200</v>
      </c>
      <c r="L829" s="4">
        <v>917500</v>
      </c>
      <c r="M829" s="4">
        <f>Tabla1[[#This Row],[BASE DEL DIA]]+Tabla1[[#This Row],[ENTREGAS]]+Tabla1[[#This Row],[TARJETAS]]+Tabla1[[#This Row],[NEQUI O QR]]+Tabla1[[#This Row],[VENTAS FE.CREDITO]]-Tabla1[[#This Row],[VENTAS NETAS]]-Tabla1[[#This Row],[BASE ANTERIOR]]</f>
        <v>2700</v>
      </c>
    </row>
    <row r="830" spans="1:13" ht="13.5" customHeight="1" x14ac:dyDescent="0.2">
      <c r="A830" s="1">
        <v>5846</v>
      </c>
      <c r="B830" s="2">
        <v>45450</v>
      </c>
      <c r="C830" s="3" t="s">
        <v>58</v>
      </c>
      <c r="D830" s="1" t="s">
        <v>17</v>
      </c>
      <c r="E830" s="1" t="s">
        <v>22</v>
      </c>
      <c r="F830" s="4">
        <v>2633200</v>
      </c>
      <c r="G830" s="4">
        <v>2521900</v>
      </c>
      <c r="H830" s="4">
        <v>121100</v>
      </c>
      <c r="I830" s="4">
        <v>0</v>
      </c>
      <c r="J830" s="4">
        <v>3100</v>
      </c>
      <c r="K830" s="4">
        <v>917500</v>
      </c>
      <c r="L830" s="4">
        <v>920000</v>
      </c>
      <c r="M830" s="4">
        <f>Tabla1[[#This Row],[BASE DEL DIA]]+Tabla1[[#This Row],[ENTREGAS]]+Tabla1[[#This Row],[TARJETAS]]+Tabla1[[#This Row],[NEQUI O QR]]+Tabla1[[#This Row],[VENTAS FE.CREDITO]]-Tabla1[[#This Row],[VENTAS NETAS]]-Tabla1[[#This Row],[BASE ANTERIOR]]</f>
        <v>10400</v>
      </c>
    </row>
    <row r="831" spans="1:13" ht="13.5" customHeight="1" x14ac:dyDescent="0.2">
      <c r="A831" s="1">
        <v>5845</v>
      </c>
      <c r="B831" s="2">
        <v>45449</v>
      </c>
      <c r="C831" s="3" t="s">
        <v>45</v>
      </c>
      <c r="D831" s="1" t="s">
        <v>17</v>
      </c>
      <c r="E831" s="1" t="s">
        <v>23</v>
      </c>
      <c r="F831" s="4">
        <v>4120500</v>
      </c>
      <c r="G831" s="4">
        <v>3902100</v>
      </c>
      <c r="H831" s="4">
        <v>175100</v>
      </c>
      <c r="I831" s="4">
        <v>0</v>
      </c>
      <c r="J831" s="4">
        <v>33700</v>
      </c>
      <c r="K831" s="4">
        <v>920000</v>
      </c>
      <c r="L831" s="4">
        <v>922100</v>
      </c>
      <c r="M831" s="4">
        <f>Tabla1[[#This Row],[BASE DEL DIA]]+Tabla1[[#This Row],[ENTREGAS]]+Tabla1[[#This Row],[TARJETAS]]+Tabla1[[#This Row],[NEQUI O QR]]+Tabla1[[#This Row],[VENTAS FE.CREDITO]]-Tabla1[[#This Row],[VENTAS NETAS]]-Tabla1[[#This Row],[BASE ANTERIOR]]</f>
        <v>-11700</v>
      </c>
    </row>
    <row r="832" spans="1:13" ht="13.5" customHeight="1" x14ac:dyDescent="0.2">
      <c r="A832" s="1">
        <v>5845</v>
      </c>
      <c r="B832" s="2">
        <v>45449</v>
      </c>
      <c r="C832" s="3" t="s">
        <v>123</v>
      </c>
      <c r="D832" s="1" t="s">
        <v>19</v>
      </c>
      <c r="E832" s="1" t="s">
        <v>22</v>
      </c>
      <c r="F832" s="4">
        <v>2344800</v>
      </c>
      <c r="G832" s="4">
        <v>2187600</v>
      </c>
      <c r="H832" s="4">
        <v>205200</v>
      </c>
      <c r="J832" s="4">
        <v>6000</v>
      </c>
      <c r="K832" s="4">
        <v>922100</v>
      </c>
      <c r="L832" s="4">
        <v>967000</v>
      </c>
      <c r="M832" s="4">
        <f>Tabla1[[#This Row],[BASE DEL DIA]]+Tabla1[[#This Row],[ENTREGAS]]+Tabla1[[#This Row],[TARJETAS]]+Tabla1[[#This Row],[NEQUI O QR]]+Tabla1[[#This Row],[VENTAS FE.CREDITO]]-Tabla1[[#This Row],[VENTAS NETAS]]-Tabla1[[#This Row],[BASE ANTERIOR]]</f>
        <v>9100</v>
      </c>
    </row>
    <row r="833" spans="1:13" ht="13.5" customHeight="1" x14ac:dyDescent="0.2">
      <c r="A833" s="1">
        <v>5844</v>
      </c>
      <c r="B833" s="2">
        <v>45448</v>
      </c>
      <c r="C833" s="3" t="s">
        <v>122</v>
      </c>
      <c r="D833" s="1" t="s">
        <v>17</v>
      </c>
      <c r="E833" s="1" t="s">
        <v>23</v>
      </c>
      <c r="F833" s="4">
        <v>4823050</v>
      </c>
      <c r="G833" s="4">
        <v>4005000</v>
      </c>
      <c r="H833" s="4">
        <v>612850</v>
      </c>
      <c r="I833" s="4">
        <v>17000</v>
      </c>
      <c r="J833" s="4">
        <v>16500</v>
      </c>
      <c r="K833" s="4">
        <v>967000</v>
      </c>
      <c r="L833" s="4">
        <v>799300</v>
      </c>
      <c r="M833" s="4">
        <f>Tabla1[[#This Row],[BASE DEL DIA]]+Tabla1[[#This Row],[ENTREGAS]]+Tabla1[[#This Row],[TARJETAS]]+Tabla1[[#This Row],[NEQUI O QR]]+Tabla1[[#This Row],[VENTAS FE.CREDITO]]-Tabla1[[#This Row],[VENTAS NETAS]]-Tabla1[[#This Row],[BASE ANTERIOR]]</f>
        <v>-4000</v>
      </c>
    </row>
    <row r="834" spans="1:13" ht="13.5" customHeight="1" x14ac:dyDescent="0.2">
      <c r="A834" s="1">
        <v>5843</v>
      </c>
      <c r="B834" s="2">
        <v>45448</v>
      </c>
      <c r="C834" s="3" t="s">
        <v>121</v>
      </c>
      <c r="D834" s="1" t="s">
        <v>17</v>
      </c>
      <c r="E834" s="1" t="s">
        <v>23</v>
      </c>
      <c r="F834" s="4">
        <v>4134000</v>
      </c>
      <c r="G834" s="4">
        <v>4097750</v>
      </c>
      <c r="H834" s="4">
        <v>137000</v>
      </c>
      <c r="I834" s="4">
        <v>0</v>
      </c>
      <c r="J834" s="4">
        <v>0</v>
      </c>
      <c r="K834" s="4">
        <v>799300</v>
      </c>
      <c r="L834" s="4">
        <v>898350</v>
      </c>
      <c r="M834" s="4">
        <f>Tabla1[[#This Row],[BASE DEL DIA]]+Tabla1[[#This Row],[ENTREGAS]]+Tabla1[[#This Row],[TARJETAS]]+Tabla1[[#This Row],[NEQUI O QR]]+Tabla1[[#This Row],[VENTAS FE.CREDITO]]-Tabla1[[#This Row],[VENTAS NETAS]]-Tabla1[[#This Row],[BASE ANTERIOR]]</f>
        <v>1700</v>
      </c>
    </row>
    <row r="835" spans="1:13" ht="13.5" customHeight="1" x14ac:dyDescent="0.2">
      <c r="A835" s="1">
        <v>5842</v>
      </c>
      <c r="B835" s="2">
        <v>45447</v>
      </c>
      <c r="C835" s="3" t="s">
        <v>42</v>
      </c>
      <c r="D835" s="1" t="s">
        <v>17</v>
      </c>
      <c r="E835" s="1" t="s">
        <v>23</v>
      </c>
      <c r="F835" s="4">
        <v>5194850</v>
      </c>
      <c r="G835" s="4">
        <v>4572800</v>
      </c>
      <c r="H835" s="4">
        <v>593800</v>
      </c>
      <c r="I835" s="4">
        <v>64400</v>
      </c>
      <c r="J835" s="4">
        <v>22700</v>
      </c>
      <c r="K835" s="4">
        <v>898350</v>
      </c>
      <c r="L835" s="4">
        <v>966500</v>
      </c>
      <c r="M835" s="4">
        <f>Tabla1[[#This Row],[BASE DEL DIA]]+Tabla1[[#This Row],[ENTREGAS]]+Tabla1[[#This Row],[TARJETAS]]+Tabla1[[#This Row],[NEQUI O QR]]+Tabla1[[#This Row],[VENTAS FE.CREDITO]]-Tabla1[[#This Row],[VENTAS NETAS]]-Tabla1[[#This Row],[BASE ANTERIOR]]</f>
        <v>-9300</v>
      </c>
    </row>
    <row r="836" spans="1:13" ht="13.5" customHeight="1" x14ac:dyDescent="0.2">
      <c r="A836" s="1">
        <v>5841</v>
      </c>
      <c r="B836" s="2">
        <v>45447</v>
      </c>
      <c r="C836" s="3" t="s">
        <v>92</v>
      </c>
      <c r="D836" s="1" t="s">
        <v>18</v>
      </c>
      <c r="E836" s="1" t="s">
        <v>22</v>
      </c>
      <c r="F836" s="4">
        <v>3355540</v>
      </c>
      <c r="G836" s="4">
        <v>3122700</v>
      </c>
      <c r="H836" s="4">
        <v>234420</v>
      </c>
      <c r="I836" s="4">
        <v>5000</v>
      </c>
      <c r="J836" s="4">
        <v>0</v>
      </c>
      <c r="K836" s="4">
        <v>966500</v>
      </c>
      <c r="L836" s="4">
        <v>971000</v>
      </c>
      <c r="M836" s="4">
        <f>Tabla1[[#This Row],[BASE DEL DIA]]+Tabla1[[#This Row],[ENTREGAS]]+Tabla1[[#This Row],[TARJETAS]]+Tabla1[[#This Row],[NEQUI O QR]]+Tabla1[[#This Row],[VENTAS FE.CREDITO]]-Tabla1[[#This Row],[VENTAS NETAS]]-Tabla1[[#This Row],[BASE ANTERIOR]]</f>
        <v>2080</v>
      </c>
    </row>
    <row r="837" spans="1:13" ht="13.5" customHeight="1" x14ac:dyDescent="0.2">
      <c r="A837" s="1">
        <v>5840</v>
      </c>
      <c r="B837" s="2">
        <v>45446</v>
      </c>
      <c r="C837" s="3" t="s">
        <v>63</v>
      </c>
      <c r="D837" s="1" t="s">
        <v>18</v>
      </c>
      <c r="E837" s="1" t="s">
        <v>23</v>
      </c>
      <c r="F837" s="4">
        <v>4255260</v>
      </c>
      <c r="G837" s="4">
        <v>4020000</v>
      </c>
      <c r="H837" s="4">
        <v>223800</v>
      </c>
      <c r="I837" s="4">
        <v>51200</v>
      </c>
      <c r="J837" s="4">
        <v>8900</v>
      </c>
      <c r="K837" s="4">
        <v>971000</v>
      </c>
      <c r="L837" s="4">
        <v>1043450</v>
      </c>
      <c r="M837" s="4">
        <f>Tabla1[[#This Row],[BASE DEL DIA]]+Tabla1[[#This Row],[ENTREGAS]]+Tabla1[[#This Row],[TARJETAS]]+Tabla1[[#This Row],[NEQUI O QR]]+Tabla1[[#This Row],[VENTAS FE.CREDITO]]-Tabla1[[#This Row],[VENTAS NETAS]]-Tabla1[[#This Row],[BASE ANTERIOR]]</f>
        <v>-23810</v>
      </c>
    </row>
    <row r="838" spans="1:13" ht="13.5" customHeight="1" x14ac:dyDescent="0.2">
      <c r="A838" s="1">
        <v>5839</v>
      </c>
      <c r="B838" s="2">
        <v>45446</v>
      </c>
      <c r="C838" s="3" t="s">
        <v>120</v>
      </c>
      <c r="D838" s="1" t="s">
        <v>17</v>
      </c>
      <c r="E838" s="1" t="s">
        <v>22</v>
      </c>
      <c r="F838" s="4">
        <v>4919920</v>
      </c>
      <c r="G838" s="4">
        <v>4601900</v>
      </c>
      <c r="H838" s="4">
        <v>165300</v>
      </c>
      <c r="I838" s="4">
        <v>0</v>
      </c>
      <c r="J838" s="4">
        <v>1800</v>
      </c>
      <c r="K838" s="4">
        <v>1043450</v>
      </c>
      <c r="L838" s="4">
        <v>894500</v>
      </c>
      <c r="M838" s="4">
        <f>Tabla1[[#This Row],[BASE DEL DIA]]+Tabla1[[#This Row],[ENTREGAS]]+Tabla1[[#This Row],[TARJETAS]]+Tabla1[[#This Row],[NEQUI O QR]]+Tabla1[[#This Row],[VENTAS FE.CREDITO]]-Tabla1[[#This Row],[VENTAS NETAS]]-Tabla1[[#This Row],[BASE ANTERIOR]]</f>
        <v>-1970</v>
      </c>
    </row>
    <row r="839" spans="1:13" ht="13.5" customHeight="1" x14ac:dyDescent="0.2">
      <c r="A839" s="1">
        <v>5838</v>
      </c>
      <c r="B839" s="2">
        <v>45445</v>
      </c>
      <c r="C839" s="3" t="s">
        <v>119</v>
      </c>
      <c r="D839" s="1" t="s">
        <v>17</v>
      </c>
      <c r="E839" s="1" t="s">
        <v>23</v>
      </c>
      <c r="F839" s="4">
        <v>5658300</v>
      </c>
      <c r="G839" s="4">
        <v>5501300</v>
      </c>
      <c r="H839" s="4">
        <v>211500</v>
      </c>
      <c r="I839" s="4">
        <v>9700</v>
      </c>
      <c r="J839" s="4">
        <v>11300</v>
      </c>
      <c r="K839" s="4">
        <v>894500</v>
      </c>
      <c r="L839" s="4">
        <v>959650</v>
      </c>
      <c r="M839" s="4">
        <f>Tabla1[[#This Row],[BASE DEL DIA]]+Tabla1[[#This Row],[ENTREGAS]]+Tabla1[[#This Row],[TARJETAS]]+Tabla1[[#This Row],[NEQUI O QR]]+Tabla1[[#This Row],[VENTAS FE.CREDITO]]-Tabla1[[#This Row],[VENTAS NETAS]]-Tabla1[[#This Row],[BASE ANTERIOR]]</f>
        <v>10350</v>
      </c>
    </row>
    <row r="840" spans="1:13" ht="13.5" customHeight="1" x14ac:dyDescent="0.2">
      <c r="A840" s="1">
        <v>5836</v>
      </c>
      <c r="B840" s="2">
        <v>45445</v>
      </c>
      <c r="C840" s="3" t="s">
        <v>65</v>
      </c>
      <c r="D840" s="1" t="s">
        <v>18</v>
      </c>
      <c r="E840" s="1" t="s">
        <v>22</v>
      </c>
      <c r="F840" s="4">
        <v>6046360</v>
      </c>
      <c r="G840" s="4">
        <v>5631500</v>
      </c>
      <c r="H840" s="4">
        <v>389840</v>
      </c>
      <c r="I840" s="4">
        <v>0</v>
      </c>
      <c r="J840" s="4">
        <v>124000</v>
      </c>
      <c r="K840" s="4">
        <v>959650</v>
      </c>
      <c r="L840" s="4">
        <v>1055500</v>
      </c>
      <c r="M840" s="4">
        <f>Tabla1[[#This Row],[BASE DEL DIA]]+Tabla1[[#This Row],[ENTREGAS]]+Tabla1[[#This Row],[TARJETAS]]+Tabla1[[#This Row],[NEQUI O QR]]+Tabla1[[#This Row],[VENTAS FE.CREDITO]]-Tabla1[[#This Row],[VENTAS NETAS]]-Tabla1[[#This Row],[BASE ANTERIOR]]</f>
        <v>3130</v>
      </c>
    </row>
    <row r="841" spans="1:13" ht="13.5" customHeight="1" x14ac:dyDescent="0.2">
      <c r="A841" s="1">
        <v>5835</v>
      </c>
      <c r="B841" s="2">
        <v>45444</v>
      </c>
      <c r="C841" s="3" t="s">
        <v>63</v>
      </c>
      <c r="D841" s="1" t="s">
        <v>18</v>
      </c>
      <c r="E841" s="1" t="s">
        <v>23</v>
      </c>
      <c r="F841" s="4">
        <v>5538740</v>
      </c>
      <c r="G841" s="4">
        <v>4600000</v>
      </c>
      <c r="H841" s="4">
        <v>425140</v>
      </c>
      <c r="I841" s="4">
        <v>398400</v>
      </c>
      <c r="J841" s="4">
        <v>58700</v>
      </c>
      <c r="K841" s="4">
        <v>1055500</v>
      </c>
      <c r="L841" s="4">
        <v>996700</v>
      </c>
      <c r="M841" s="4">
        <f>Tabla1[[#This Row],[BASE DEL DIA]]+Tabla1[[#This Row],[ENTREGAS]]+Tabla1[[#This Row],[TARJETAS]]+Tabla1[[#This Row],[NEQUI O QR]]+Tabla1[[#This Row],[VENTAS FE.CREDITO]]-Tabla1[[#This Row],[VENTAS NETAS]]-Tabla1[[#This Row],[BASE ANTERIOR]]</f>
        <v>2300</v>
      </c>
    </row>
    <row r="842" spans="1:13" ht="13.5" customHeight="1" x14ac:dyDescent="0.2">
      <c r="A842" s="1">
        <v>5834</v>
      </c>
      <c r="B842" s="2">
        <v>45444</v>
      </c>
      <c r="C842" s="3" t="s">
        <v>112</v>
      </c>
      <c r="D842" s="1" t="s">
        <v>19</v>
      </c>
      <c r="E842" s="1" t="s">
        <v>22</v>
      </c>
      <c r="F842" s="4">
        <v>4643530</v>
      </c>
      <c r="G842" s="4">
        <v>3987500</v>
      </c>
      <c r="H842" s="4">
        <v>490660</v>
      </c>
      <c r="I842" s="4">
        <v>0</v>
      </c>
      <c r="J842" s="4">
        <v>104700</v>
      </c>
      <c r="K842" s="4">
        <v>996700</v>
      </c>
      <c r="L842" s="4">
        <v>934600</v>
      </c>
      <c r="M842" s="4">
        <f>Tabla1[[#This Row],[BASE DEL DIA]]+Tabla1[[#This Row],[ENTREGAS]]+Tabla1[[#This Row],[TARJETAS]]+Tabla1[[#This Row],[NEQUI O QR]]+Tabla1[[#This Row],[VENTAS FE.CREDITO]]-Tabla1[[#This Row],[VENTAS NETAS]]-Tabla1[[#This Row],[BASE ANTERIOR]]</f>
        <v>1430</v>
      </c>
    </row>
    <row r="843" spans="1:13" ht="13.5" customHeight="1" x14ac:dyDescent="0.2">
      <c r="A843" s="1">
        <v>5833</v>
      </c>
      <c r="B843" s="2">
        <v>45443</v>
      </c>
      <c r="C843" s="3" t="s">
        <v>118</v>
      </c>
      <c r="D843" s="1" t="s">
        <v>17</v>
      </c>
      <c r="E843" s="1" t="s">
        <v>23</v>
      </c>
      <c r="F843" s="4">
        <v>5198150</v>
      </c>
      <c r="G843" s="4">
        <v>4543700</v>
      </c>
      <c r="H843" s="4">
        <v>599650</v>
      </c>
      <c r="I843" s="4">
        <v>72100</v>
      </c>
      <c r="J843" s="4">
        <v>44000</v>
      </c>
      <c r="K843" s="4">
        <v>934600</v>
      </c>
      <c r="L843" s="4">
        <v>996000</v>
      </c>
      <c r="M843" s="4">
        <f>Tabla1[[#This Row],[BASE DEL DIA]]+Tabla1[[#This Row],[ENTREGAS]]+Tabla1[[#This Row],[TARJETAS]]+Tabla1[[#This Row],[NEQUI O QR]]+Tabla1[[#This Row],[VENTAS FE.CREDITO]]-Tabla1[[#This Row],[VENTAS NETAS]]-Tabla1[[#This Row],[BASE ANTERIOR]]</f>
        <v>-100</v>
      </c>
    </row>
    <row r="844" spans="1:13" ht="13.5" customHeight="1" x14ac:dyDescent="0.2">
      <c r="A844" s="1">
        <v>5832</v>
      </c>
      <c r="B844" s="2">
        <v>45443</v>
      </c>
      <c r="C844" s="3" t="s">
        <v>67</v>
      </c>
      <c r="D844" s="1" t="s">
        <v>18</v>
      </c>
      <c r="E844" s="1" t="s">
        <v>22</v>
      </c>
      <c r="F844" s="4">
        <v>3173840</v>
      </c>
      <c r="G844" s="4">
        <v>3095500</v>
      </c>
      <c r="H844" s="4">
        <v>40960</v>
      </c>
      <c r="I844" s="4">
        <v>0</v>
      </c>
      <c r="J844" s="4">
        <v>6600</v>
      </c>
      <c r="K844" s="4">
        <v>996000</v>
      </c>
      <c r="L844" s="4">
        <v>963900</v>
      </c>
      <c r="M844" s="4">
        <f>Tabla1[[#This Row],[BASE DEL DIA]]+Tabla1[[#This Row],[ENTREGAS]]+Tabla1[[#This Row],[TARJETAS]]+Tabla1[[#This Row],[NEQUI O QR]]+Tabla1[[#This Row],[VENTAS FE.CREDITO]]-Tabla1[[#This Row],[VENTAS NETAS]]-Tabla1[[#This Row],[BASE ANTERIOR]]</f>
        <v>1320</v>
      </c>
    </row>
    <row r="845" spans="1:13" ht="13.5" customHeight="1" x14ac:dyDescent="0.2">
      <c r="A845" s="1">
        <v>5831</v>
      </c>
      <c r="B845" s="2">
        <v>45443</v>
      </c>
      <c r="C845" s="3" t="s">
        <v>117</v>
      </c>
      <c r="D845" s="1" t="s">
        <v>18</v>
      </c>
      <c r="E845" s="1" t="s">
        <v>23</v>
      </c>
      <c r="F845" s="4">
        <v>4009930</v>
      </c>
      <c r="G845" s="4">
        <v>3405000</v>
      </c>
      <c r="H845" s="4">
        <v>613760</v>
      </c>
      <c r="I845" s="4">
        <v>0</v>
      </c>
      <c r="J845" s="4">
        <v>14800</v>
      </c>
      <c r="K845" s="4">
        <v>963900</v>
      </c>
      <c r="L845" s="4">
        <v>986900</v>
      </c>
      <c r="M845" s="4">
        <f>Tabla1[[#This Row],[BASE DEL DIA]]+Tabla1[[#This Row],[ENTREGAS]]+Tabla1[[#This Row],[TARJETAS]]+Tabla1[[#This Row],[NEQUI O QR]]+Tabla1[[#This Row],[VENTAS FE.CREDITO]]-Tabla1[[#This Row],[VENTAS NETAS]]-Tabla1[[#This Row],[BASE ANTERIOR]]</f>
        <v>630</v>
      </c>
    </row>
    <row r="846" spans="1:13" ht="13.5" customHeight="1" x14ac:dyDescent="0.2">
      <c r="A846" s="1">
        <v>5830</v>
      </c>
      <c r="B846" s="2">
        <v>45442</v>
      </c>
      <c r="C846" s="3" t="s">
        <v>111</v>
      </c>
      <c r="D846" s="1" t="s">
        <v>17</v>
      </c>
      <c r="E846" s="1" t="s">
        <v>22</v>
      </c>
      <c r="F846" s="4">
        <v>3195499</v>
      </c>
      <c r="G846" s="4">
        <v>3132000</v>
      </c>
      <c r="H846" s="4">
        <v>60300</v>
      </c>
      <c r="I846" s="4">
        <v>0</v>
      </c>
      <c r="J846" s="4">
        <v>0</v>
      </c>
      <c r="K846" s="4">
        <v>986900</v>
      </c>
      <c r="L846" s="4">
        <v>958500</v>
      </c>
      <c r="M846" s="4">
        <f>Tabla1[[#This Row],[BASE DEL DIA]]+Tabla1[[#This Row],[ENTREGAS]]+Tabla1[[#This Row],[TARJETAS]]+Tabla1[[#This Row],[NEQUI O QR]]+Tabla1[[#This Row],[VENTAS FE.CREDITO]]-Tabla1[[#This Row],[VENTAS NETAS]]-Tabla1[[#This Row],[BASE ANTERIOR]]</f>
        <v>25201</v>
      </c>
    </row>
    <row r="847" spans="1:13" ht="13.5" customHeight="1" x14ac:dyDescent="0.2">
      <c r="A847" s="1">
        <v>5829</v>
      </c>
      <c r="B847" s="2">
        <v>45441</v>
      </c>
      <c r="C847" s="3" t="s">
        <v>45</v>
      </c>
      <c r="D847" s="1" t="s">
        <v>17</v>
      </c>
      <c r="E847" s="1" t="s">
        <v>23</v>
      </c>
      <c r="F847" s="4">
        <v>3866800</v>
      </c>
      <c r="G847" s="4">
        <v>3525600</v>
      </c>
      <c r="H847" s="4">
        <v>285800</v>
      </c>
      <c r="I847" s="4">
        <v>9200</v>
      </c>
      <c r="J847" s="4">
        <v>30300</v>
      </c>
      <c r="K847" s="4">
        <v>958500</v>
      </c>
      <c r="L847" s="4">
        <v>945150</v>
      </c>
      <c r="M847" s="4">
        <f>Tabla1[[#This Row],[BASE DEL DIA]]+Tabla1[[#This Row],[ENTREGAS]]+Tabla1[[#This Row],[TARJETAS]]+Tabla1[[#This Row],[NEQUI O QR]]+Tabla1[[#This Row],[VENTAS FE.CREDITO]]-Tabla1[[#This Row],[VENTAS NETAS]]-Tabla1[[#This Row],[BASE ANTERIOR]]</f>
        <v>-2550</v>
      </c>
    </row>
    <row r="848" spans="1:13" ht="13.5" customHeight="1" x14ac:dyDescent="0.2">
      <c r="A848" s="1">
        <v>5828</v>
      </c>
      <c r="B848" s="2">
        <v>45441</v>
      </c>
      <c r="C848" s="3" t="s">
        <v>116</v>
      </c>
      <c r="D848" s="1" t="s">
        <v>18</v>
      </c>
      <c r="E848" s="1" t="s">
        <v>22</v>
      </c>
      <c r="F848" s="4">
        <v>2027500</v>
      </c>
      <c r="G848" s="4">
        <v>1941850</v>
      </c>
      <c r="H848" s="4">
        <v>40320</v>
      </c>
      <c r="I848" s="4">
        <v>15500</v>
      </c>
      <c r="J848" s="4">
        <v>0</v>
      </c>
      <c r="K848" s="4">
        <v>945150</v>
      </c>
      <c r="L848" s="4">
        <v>914400</v>
      </c>
      <c r="M848" s="4">
        <f>Tabla1[[#This Row],[BASE DEL DIA]]+Tabla1[[#This Row],[ENTREGAS]]+Tabla1[[#This Row],[TARJETAS]]+Tabla1[[#This Row],[NEQUI O QR]]+Tabla1[[#This Row],[VENTAS FE.CREDITO]]-Tabla1[[#This Row],[VENTAS NETAS]]-Tabla1[[#This Row],[BASE ANTERIOR]]</f>
        <v>920</v>
      </c>
    </row>
    <row r="849" spans="1:13" ht="13.5" customHeight="1" x14ac:dyDescent="0.2">
      <c r="A849" s="1">
        <v>5827</v>
      </c>
      <c r="B849" s="2">
        <v>45440</v>
      </c>
      <c r="C849" s="3" t="s">
        <v>106</v>
      </c>
      <c r="D849" s="1" t="s">
        <v>18</v>
      </c>
      <c r="E849" s="1" t="s">
        <v>23</v>
      </c>
      <c r="F849" s="4">
        <v>2880190</v>
      </c>
      <c r="G849" s="4">
        <v>2686000</v>
      </c>
      <c r="H849" s="4">
        <v>99720</v>
      </c>
      <c r="I849" s="4">
        <v>0</v>
      </c>
      <c r="J849" s="4">
        <v>0</v>
      </c>
      <c r="K849" s="4">
        <v>914400</v>
      </c>
      <c r="L849" s="4">
        <v>817750</v>
      </c>
      <c r="M849" s="4">
        <f>Tabla1[[#This Row],[BASE DEL DIA]]+Tabla1[[#This Row],[ENTREGAS]]+Tabla1[[#This Row],[TARJETAS]]+Tabla1[[#This Row],[NEQUI O QR]]+Tabla1[[#This Row],[VENTAS FE.CREDITO]]-Tabla1[[#This Row],[VENTAS NETAS]]-Tabla1[[#This Row],[BASE ANTERIOR]]</f>
        <v>2180</v>
      </c>
    </row>
    <row r="850" spans="1:13" ht="13.5" customHeight="1" x14ac:dyDescent="0.2">
      <c r="A850" s="1">
        <v>5826</v>
      </c>
      <c r="B850" s="2">
        <v>45440</v>
      </c>
      <c r="C850" s="3" t="s">
        <v>61</v>
      </c>
      <c r="D850" s="1" t="s">
        <v>17</v>
      </c>
      <c r="E850" s="1" t="s">
        <v>22</v>
      </c>
      <c r="F850" s="4">
        <v>2810050</v>
      </c>
      <c r="G850" s="4">
        <v>2172300</v>
      </c>
      <c r="H850" s="4">
        <v>715900</v>
      </c>
      <c r="I850" s="4">
        <v>12456</v>
      </c>
      <c r="J850" s="4">
        <v>0</v>
      </c>
      <c r="K850" s="4">
        <v>817750</v>
      </c>
      <c r="L850" s="4">
        <v>901800</v>
      </c>
      <c r="M850" s="4">
        <f>Tabla1[[#This Row],[BASE DEL DIA]]+Tabla1[[#This Row],[ENTREGAS]]+Tabla1[[#This Row],[TARJETAS]]+Tabla1[[#This Row],[NEQUI O QR]]+Tabla1[[#This Row],[VENTAS FE.CREDITO]]-Tabla1[[#This Row],[VENTAS NETAS]]-Tabla1[[#This Row],[BASE ANTERIOR]]</f>
        <v>6556</v>
      </c>
    </row>
    <row r="851" spans="1:13" ht="13.5" customHeight="1" x14ac:dyDescent="0.2">
      <c r="A851" s="1">
        <v>5825</v>
      </c>
      <c r="B851" s="2">
        <v>45439</v>
      </c>
      <c r="C851" s="3" t="s">
        <v>42</v>
      </c>
      <c r="D851" s="1" t="s">
        <v>17</v>
      </c>
      <c r="E851" s="1" t="s">
        <v>23</v>
      </c>
      <c r="F851" s="4">
        <v>4048060</v>
      </c>
      <c r="G851" s="4">
        <v>3754000</v>
      </c>
      <c r="H851" s="4">
        <v>310900</v>
      </c>
      <c r="I851" s="4">
        <v>48800</v>
      </c>
      <c r="J851" s="4">
        <v>4200</v>
      </c>
      <c r="K851" s="4">
        <v>901800</v>
      </c>
      <c r="L851" s="4">
        <v>971550</v>
      </c>
      <c r="M851" s="4">
        <f>Tabla1[[#This Row],[BASE DEL DIA]]+Tabla1[[#This Row],[ENTREGAS]]+Tabla1[[#This Row],[TARJETAS]]+Tabla1[[#This Row],[NEQUI O QR]]+Tabla1[[#This Row],[VENTAS FE.CREDITO]]-Tabla1[[#This Row],[VENTAS NETAS]]-Tabla1[[#This Row],[BASE ANTERIOR]]</f>
        <v>90</v>
      </c>
    </row>
    <row r="852" spans="1:13" ht="13.5" customHeight="1" x14ac:dyDescent="0.2">
      <c r="A852" s="1">
        <v>5824</v>
      </c>
      <c r="B852" s="2">
        <v>45439</v>
      </c>
      <c r="C852" s="3" t="s">
        <v>58</v>
      </c>
      <c r="D852" s="1" t="s">
        <v>18</v>
      </c>
      <c r="E852" s="1" t="s">
        <v>22</v>
      </c>
      <c r="F852" s="4">
        <v>2457920</v>
      </c>
      <c r="G852" s="4">
        <v>2327100</v>
      </c>
      <c r="H852" s="4">
        <v>60900</v>
      </c>
      <c r="I852" s="4">
        <v>0</v>
      </c>
      <c r="J852" s="4">
        <v>0</v>
      </c>
      <c r="K852" s="4">
        <v>971550</v>
      </c>
      <c r="L852" s="4">
        <v>899950</v>
      </c>
      <c r="M852" s="4">
        <f>Tabla1[[#This Row],[BASE DEL DIA]]+Tabla1[[#This Row],[ENTREGAS]]+Tabla1[[#This Row],[TARJETAS]]+Tabla1[[#This Row],[NEQUI O QR]]+Tabla1[[#This Row],[VENTAS FE.CREDITO]]-Tabla1[[#This Row],[VENTAS NETAS]]-Tabla1[[#This Row],[BASE ANTERIOR]]</f>
        <v>1680</v>
      </c>
    </row>
    <row r="853" spans="1:13" ht="13.5" customHeight="1" x14ac:dyDescent="0.2">
      <c r="A853" s="1">
        <v>5823</v>
      </c>
      <c r="B853" s="2">
        <v>45438</v>
      </c>
      <c r="C853" s="3" t="s">
        <v>66</v>
      </c>
      <c r="D853" s="1" t="s">
        <v>18</v>
      </c>
      <c r="E853" s="1" t="s">
        <v>23</v>
      </c>
      <c r="F853" s="4">
        <v>3583469</v>
      </c>
      <c r="G853" s="4">
        <v>3030000</v>
      </c>
      <c r="H853" s="4">
        <v>524670</v>
      </c>
      <c r="I853" s="4">
        <v>0</v>
      </c>
      <c r="J853" s="4">
        <v>0</v>
      </c>
      <c r="K853" s="4">
        <v>899950</v>
      </c>
      <c r="L853" s="4">
        <v>868150</v>
      </c>
      <c r="M853" s="4">
        <f>Tabla1[[#This Row],[BASE DEL DIA]]+Tabla1[[#This Row],[ENTREGAS]]+Tabla1[[#This Row],[TARJETAS]]+Tabla1[[#This Row],[NEQUI O QR]]+Tabla1[[#This Row],[VENTAS FE.CREDITO]]-Tabla1[[#This Row],[VENTAS NETAS]]-Tabla1[[#This Row],[BASE ANTERIOR]]</f>
        <v>3001</v>
      </c>
    </row>
    <row r="854" spans="1:13" ht="13.5" customHeight="1" x14ac:dyDescent="0.2">
      <c r="A854" s="1">
        <v>5822</v>
      </c>
      <c r="B854" s="2">
        <v>45438</v>
      </c>
      <c r="C854" s="3" t="s">
        <v>91</v>
      </c>
      <c r="D854" s="1" t="s">
        <v>19</v>
      </c>
      <c r="E854" s="1" t="s">
        <v>22</v>
      </c>
      <c r="F854" s="4">
        <v>3970960</v>
      </c>
      <c r="G854" s="4">
        <v>3620000</v>
      </c>
      <c r="H854" s="4">
        <v>387960</v>
      </c>
      <c r="I854" s="4">
        <v>44000</v>
      </c>
      <c r="J854" s="4">
        <v>0</v>
      </c>
      <c r="K854" s="4">
        <v>868150</v>
      </c>
      <c r="L854" s="4">
        <v>937000</v>
      </c>
      <c r="M854" s="4">
        <f>Tabla1[[#This Row],[BASE DEL DIA]]+Tabla1[[#This Row],[ENTREGAS]]+Tabla1[[#This Row],[TARJETAS]]+Tabla1[[#This Row],[NEQUI O QR]]+Tabla1[[#This Row],[VENTAS FE.CREDITO]]-Tabla1[[#This Row],[VENTAS NETAS]]-Tabla1[[#This Row],[BASE ANTERIOR]]</f>
        <v>12150</v>
      </c>
    </row>
    <row r="855" spans="1:13" ht="13.5" customHeight="1" x14ac:dyDescent="0.2">
      <c r="A855" s="1">
        <v>5821</v>
      </c>
      <c r="B855" s="2">
        <v>45437</v>
      </c>
      <c r="C855" s="3" t="s">
        <v>73</v>
      </c>
      <c r="D855" s="1" t="s">
        <v>17</v>
      </c>
      <c r="E855" s="1" t="s">
        <v>23</v>
      </c>
      <c r="F855" s="4">
        <v>4075200</v>
      </c>
      <c r="G855" s="4">
        <v>3938000</v>
      </c>
      <c r="H855" s="4">
        <v>164500</v>
      </c>
      <c r="J855" s="4">
        <v>9700</v>
      </c>
      <c r="K855" s="4">
        <v>937000</v>
      </c>
      <c r="L855" s="4">
        <v>967700</v>
      </c>
      <c r="M855" s="4">
        <f>Tabla1[[#This Row],[BASE DEL DIA]]+Tabla1[[#This Row],[ENTREGAS]]+Tabla1[[#This Row],[TARJETAS]]+Tabla1[[#This Row],[NEQUI O QR]]+Tabla1[[#This Row],[VENTAS FE.CREDITO]]-Tabla1[[#This Row],[VENTAS NETAS]]-Tabla1[[#This Row],[BASE ANTERIOR]]</f>
        <v>6300</v>
      </c>
    </row>
    <row r="856" spans="1:13" ht="13.5" customHeight="1" x14ac:dyDescent="0.2">
      <c r="A856" s="1">
        <v>5820</v>
      </c>
      <c r="B856" s="2">
        <v>45437</v>
      </c>
      <c r="C856" s="3" t="s">
        <v>116</v>
      </c>
      <c r="D856" s="1" t="s">
        <v>18</v>
      </c>
      <c r="E856" s="1" t="s">
        <v>22</v>
      </c>
      <c r="F856" s="4">
        <v>2694040</v>
      </c>
      <c r="G856" s="4">
        <v>2530000</v>
      </c>
      <c r="H856" s="4">
        <v>132360</v>
      </c>
      <c r="I856" s="4">
        <v>8200</v>
      </c>
      <c r="J856" s="4">
        <v>33560</v>
      </c>
      <c r="K856" s="4">
        <v>967700</v>
      </c>
      <c r="L856" s="4">
        <v>975050</v>
      </c>
      <c r="M856" s="4">
        <f>Tabla1[[#This Row],[BASE DEL DIA]]+Tabla1[[#This Row],[ENTREGAS]]+Tabla1[[#This Row],[TARJETAS]]+Tabla1[[#This Row],[NEQUI O QR]]+Tabla1[[#This Row],[VENTAS FE.CREDITO]]-Tabla1[[#This Row],[VENTAS NETAS]]-Tabla1[[#This Row],[BASE ANTERIOR]]</f>
        <v>2730</v>
      </c>
    </row>
    <row r="857" spans="1:13" ht="13.5" customHeight="1" x14ac:dyDescent="0.2">
      <c r="A857" s="1">
        <v>5819</v>
      </c>
      <c r="B857" s="2">
        <v>45436</v>
      </c>
      <c r="C857" s="3" t="s">
        <v>72</v>
      </c>
      <c r="D857" s="1" t="s">
        <v>18</v>
      </c>
      <c r="E857" s="1" t="s">
        <v>23</v>
      </c>
      <c r="F857" s="4">
        <v>3435580</v>
      </c>
      <c r="G857" s="4">
        <v>2991600</v>
      </c>
      <c r="H857" s="4">
        <v>294120</v>
      </c>
      <c r="I857" s="4">
        <v>63500</v>
      </c>
      <c r="J857" s="4">
        <v>36600</v>
      </c>
      <c r="K857" s="4">
        <v>975050</v>
      </c>
      <c r="L857" s="4">
        <v>923700</v>
      </c>
      <c r="M857" s="4">
        <f>Tabla1[[#This Row],[BASE DEL DIA]]+Tabla1[[#This Row],[ENTREGAS]]+Tabla1[[#This Row],[TARJETAS]]+Tabla1[[#This Row],[NEQUI O QR]]+Tabla1[[#This Row],[VENTAS FE.CREDITO]]-Tabla1[[#This Row],[VENTAS NETAS]]-Tabla1[[#This Row],[BASE ANTERIOR]]</f>
        <v>1590</v>
      </c>
    </row>
    <row r="858" spans="1:13" ht="13.5" customHeight="1" x14ac:dyDescent="0.2">
      <c r="A858" s="1">
        <v>5818</v>
      </c>
      <c r="B858" s="2">
        <v>45436</v>
      </c>
      <c r="C858" s="3" t="s">
        <v>115</v>
      </c>
      <c r="D858" s="1" t="s">
        <v>98</v>
      </c>
      <c r="E858" s="1" t="s">
        <v>22</v>
      </c>
      <c r="F858" s="4">
        <v>2537790</v>
      </c>
      <c r="G858" s="4">
        <v>2361900</v>
      </c>
      <c r="H858" s="4">
        <v>98300</v>
      </c>
      <c r="J858" s="4">
        <v>27400</v>
      </c>
      <c r="K858" s="4">
        <v>923700</v>
      </c>
      <c r="L858" s="4">
        <v>882600</v>
      </c>
      <c r="M858" s="4">
        <f>Tabla1[[#This Row],[BASE DEL DIA]]+Tabla1[[#This Row],[ENTREGAS]]+Tabla1[[#This Row],[TARJETAS]]+Tabla1[[#This Row],[NEQUI O QR]]+Tabla1[[#This Row],[VENTAS FE.CREDITO]]-Tabla1[[#This Row],[VENTAS NETAS]]-Tabla1[[#This Row],[BASE ANTERIOR]]</f>
        <v>-9090</v>
      </c>
    </row>
    <row r="859" spans="1:13" ht="13.5" customHeight="1" x14ac:dyDescent="0.2">
      <c r="A859" s="1">
        <v>5817</v>
      </c>
      <c r="B859" s="2">
        <v>45435</v>
      </c>
      <c r="C859" s="3" t="s">
        <v>43</v>
      </c>
      <c r="D859" s="1" t="s">
        <v>17</v>
      </c>
      <c r="E859" s="1" t="s">
        <v>23</v>
      </c>
      <c r="F859" s="4">
        <v>3292300</v>
      </c>
      <c r="G859" s="4">
        <v>3166000</v>
      </c>
      <c r="H859" s="4">
        <v>171200</v>
      </c>
      <c r="I859" s="4">
        <v>0</v>
      </c>
      <c r="J859" s="4">
        <v>0</v>
      </c>
      <c r="K859" s="4">
        <v>882600</v>
      </c>
      <c r="L859" s="4">
        <v>927550</v>
      </c>
      <c r="M859" s="4">
        <f>Tabla1[[#This Row],[BASE DEL DIA]]+Tabla1[[#This Row],[ENTREGAS]]+Tabla1[[#This Row],[TARJETAS]]+Tabla1[[#This Row],[NEQUI O QR]]+Tabla1[[#This Row],[VENTAS FE.CREDITO]]-Tabla1[[#This Row],[VENTAS NETAS]]-Tabla1[[#This Row],[BASE ANTERIOR]]</f>
        <v>-50</v>
      </c>
    </row>
    <row r="860" spans="1:13" ht="13.5" customHeight="1" x14ac:dyDescent="0.2">
      <c r="A860" s="1">
        <v>5816</v>
      </c>
      <c r="B860" s="2">
        <v>45435</v>
      </c>
      <c r="C860" s="3" t="s">
        <v>114</v>
      </c>
      <c r="D860" s="1" t="s">
        <v>18</v>
      </c>
      <c r="E860" s="1" t="s">
        <v>22</v>
      </c>
      <c r="F860" s="4">
        <v>2517000</v>
      </c>
      <c r="G860" s="4">
        <v>2440500</v>
      </c>
      <c r="H860" s="4">
        <v>66500</v>
      </c>
      <c r="K860" s="4">
        <v>927550</v>
      </c>
      <c r="L860" s="4">
        <v>916500</v>
      </c>
      <c r="M860" s="4">
        <f>Tabla1[[#This Row],[BASE DEL DIA]]+Tabla1[[#This Row],[ENTREGAS]]+Tabla1[[#This Row],[TARJETAS]]+Tabla1[[#This Row],[NEQUI O QR]]+Tabla1[[#This Row],[VENTAS FE.CREDITO]]-Tabla1[[#This Row],[VENTAS NETAS]]-Tabla1[[#This Row],[BASE ANTERIOR]]</f>
        <v>1050</v>
      </c>
    </row>
    <row r="861" spans="1:13" ht="13.5" customHeight="1" x14ac:dyDescent="0.2">
      <c r="A861" s="1">
        <v>5815</v>
      </c>
      <c r="B861" s="2">
        <v>45435</v>
      </c>
      <c r="C861" s="3" t="s">
        <v>113</v>
      </c>
      <c r="D861" s="1" t="s">
        <v>98</v>
      </c>
      <c r="E861" s="1" t="s">
        <v>22</v>
      </c>
      <c r="F861" s="4">
        <v>2964890</v>
      </c>
      <c r="G861" s="4">
        <v>2833200</v>
      </c>
      <c r="H861" s="4">
        <v>85260</v>
      </c>
      <c r="I861" s="4">
        <v>86000</v>
      </c>
      <c r="J861" s="4">
        <v>0</v>
      </c>
      <c r="K861" s="4">
        <v>916500</v>
      </c>
      <c r="L861" s="4">
        <v>972950</v>
      </c>
      <c r="M861" s="4">
        <f>Tabla1[[#This Row],[BASE DEL DIA]]+Tabla1[[#This Row],[ENTREGAS]]+Tabla1[[#This Row],[TARJETAS]]+Tabla1[[#This Row],[NEQUI O QR]]+Tabla1[[#This Row],[VENTAS FE.CREDITO]]-Tabla1[[#This Row],[VENTAS NETAS]]-Tabla1[[#This Row],[BASE ANTERIOR]]</f>
        <v>-16880</v>
      </c>
    </row>
    <row r="862" spans="1:13" ht="13.5" customHeight="1" x14ac:dyDescent="0.2">
      <c r="A862" s="1">
        <v>5814</v>
      </c>
      <c r="B862" s="2">
        <v>45434</v>
      </c>
      <c r="C862" s="3" t="s">
        <v>68</v>
      </c>
      <c r="D862" s="1" t="s">
        <v>98</v>
      </c>
      <c r="E862" s="1" t="s">
        <v>22</v>
      </c>
      <c r="F862" s="4">
        <v>2674600</v>
      </c>
      <c r="G862" s="4">
        <v>2401450</v>
      </c>
      <c r="H862" s="4">
        <v>138000</v>
      </c>
      <c r="I862" s="4">
        <v>0</v>
      </c>
      <c r="J862" s="4">
        <v>0</v>
      </c>
      <c r="K862" s="4">
        <v>972950</v>
      </c>
      <c r="L862" s="4">
        <v>838700</v>
      </c>
      <c r="M862" s="4">
        <f>Tabla1[[#This Row],[BASE DEL DIA]]+Tabla1[[#This Row],[ENTREGAS]]+Tabla1[[#This Row],[TARJETAS]]+Tabla1[[#This Row],[NEQUI O QR]]+Tabla1[[#This Row],[VENTAS FE.CREDITO]]-Tabla1[[#This Row],[VENTAS NETAS]]-Tabla1[[#This Row],[BASE ANTERIOR]]</f>
        <v>-900</v>
      </c>
    </row>
    <row r="863" spans="1:13" ht="13.5" customHeight="1" x14ac:dyDescent="0.2">
      <c r="A863" s="1">
        <v>5813</v>
      </c>
      <c r="B863" s="2">
        <v>45433</v>
      </c>
      <c r="C863" s="3" t="s">
        <v>52</v>
      </c>
      <c r="D863" s="1" t="s">
        <v>17</v>
      </c>
      <c r="E863" s="1" t="s">
        <v>23</v>
      </c>
      <c r="F863" s="4">
        <v>3807560</v>
      </c>
      <c r="G863" s="4">
        <v>3590000</v>
      </c>
      <c r="H863" s="4">
        <v>181200</v>
      </c>
      <c r="I863" s="4">
        <v>0</v>
      </c>
      <c r="J863" s="4">
        <v>8900</v>
      </c>
      <c r="K863" s="4">
        <v>838700</v>
      </c>
      <c r="L863" s="4">
        <v>811550</v>
      </c>
      <c r="M863" s="4">
        <f>Tabla1[[#This Row],[BASE DEL DIA]]+Tabla1[[#This Row],[ENTREGAS]]+Tabla1[[#This Row],[TARJETAS]]+Tabla1[[#This Row],[NEQUI O QR]]+Tabla1[[#This Row],[VENTAS FE.CREDITO]]-Tabla1[[#This Row],[VENTAS NETAS]]-Tabla1[[#This Row],[BASE ANTERIOR]]</f>
        <v>-310</v>
      </c>
    </row>
    <row r="864" spans="1:13" ht="13.5" customHeight="1" x14ac:dyDescent="0.2">
      <c r="A864" s="1">
        <v>5812</v>
      </c>
      <c r="B864" s="2">
        <v>45433</v>
      </c>
      <c r="C864" s="3" t="s">
        <v>112</v>
      </c>
      <c r="D864" s="1" t="s">
        <v>18</v>
      </c>
      <c r="E864" s="1" t="s">
        <v>22</v>
      </c>
      <c r="F864" s="4">
        <v>2475120</v>
      </c>
      <c r="G864" s="4">
        <v>2446700</v>
      </c>
      <c r="H864" s="4">
        <v>127680</v>
      </c>
      <c r="I864" s="4">
        <v>0</v>
      </c>
      <c r="J864" s="4">
        <v>0</v>
      </c>
      <c r="K864" s="4">
        <v>811550</v>
      </c>
      <c r="L864" s="4">
        <v>908550</v>
      </c>
      <c r="M864" s="4">
        <f>Tabla1[[#This Row],[BASE DEL DIA]]+Tabla1[[#This Row],[ENTREGAS]]+Tabla1[[#This Row],[TARJETAS]]+Tabla1[[#This Row],[NEQUI O QR]]+Tabla1[[#This Row],[VENTAS FE.CREDITO]]-Tabla1[[#This Row],[VENTAS NETAS]]-Tabla1[[#This Row],[BASE ANTERIOR]]</f>
        <v>2260</v>
      </c>
    </row>
    <row r="865" spans="1:13" ht="13.5" customHeight="1" x14ac:dyDescent="0.2">
      <c r="A865" s="1">
        <v>5811</v>
      </c>
      <c r="B865" s="2">
        <v>45432</v>
      </c>
      <c r="C865" s="3" t="s">
        <v>106</v>
      </c>
      <c r="D865" s="1" t="s">
        <v>18</v>
      </c>
      <c r="E865" s="1" t="s">
        <v>23</v>
      </c>
      <c r="F865" s="4">
        <v>4330240</v>
      </c>
      <c r="G865" s="4">
        <v>3799000</v>
      </c>
      <c r="H865" s="4">
        <v>212580</v>
      </c>
      <c r="I865" s="4">
        <v>180800</v>
      </c>
      <c r="J865" s="4">
        <v>0</v>
      </c>
      <c r="K865" s="4">
        <v>908550</v>
      </c>
      <c r="L865" s="4">
        <v>768250</v>
      </c>
      <c r="M865" s="4">
        <f>Tabla1[[#This Row],[BASE DEL DIA]]+Tabla1[[#This Row],[ENTREGAS]]+Tabla1[[#This Row],[TARJETAS]]+Tabla1[[#This Row],[NEQUI O QR]]+Tabla1[[#This Row],[VENTAS FE.CREDITO]]-Tabla1[[#This Row],[VENTAS NETAS]]-Tabla1[[#This Row],[BASE ANTERIOR]]</f>
        <v>2440</v>
      </c>
    </row>
    <row r="866" spans="1:13" ht="13.5" customHeight="1" x14ac:dyDescent="0.2">
      <c r="A866" s="1">
        <v>5810</v>
      </c>
      <c r="B866" s="2">
        <v>45432</v>
      </c>
      <c r="C866" s="3" t="s">
        <v>64</v>
      </c>
      <c r="D866" s="1" t="s">
        <v>17</v>
      </c>
      <c r="E866" s="1" t="s">
        <v>22</v>
      </c>
      <c r="F866" s="4">
        <v>2157860</v>
      </c>
      <c r="G866" s="4">
        <v>2080875</v>
      </c>
      <c r="H866" s="4">
        <v>180700</v>
      </c>
      <c r="I866" s="4">
        <v>0</v>
      </c>
      <c r="J866" s="4">
        <v>20700</v>
      </c>
      <c r="K866" s="4">
        <v>768250</v>
      </c>
      <c r="L866" s="4">
        <v>886200</v>
      </c>
      <c r="M866" s="4">
        <f>Tabla1[[#This Row],[BASE DEL DIA]]+Tabla1[[#This Row],[ENTREGAS]]+Tabla1[[#This Row],[TARJETAS]]+Tabla1[[#This Row],[NEQUI O QR]]+Tabla1[[#This Row],[VENTAS FE.CREDITO]]-Tabla1[[#This Row],[VENTAS NETAS]]-Tabla1[[#This Row],[BASE ANTERIOR]]</f>
        <v>6465</v>
      </c>
    </row>
    <row r="867" spans="1:13" ht="13.5" customHeight="1" x14ac:dyDescent="0.2">
      <c r="A867" s="1">
        <v>5809</v>
      </c>
      <c r="B867" s="2">
        <v>45431</v>
      </c>
      <c r="C867" s="3" t="s">
        <v>85</v>
      </c>
      <c r="D867" s="1" t="s">
        <v>17</v>
      </c>
      <c r="E867" s="1" t="s">
        <v>23</v>
      </c>
      <c r="F867" s="4">
        <v>5401500</v>
      </c>
      <c r="G867" s="4">
        <v>4848300</v>
      </c>
      <c r="H867" s="4">
        <v>440600</v>
      </c>
      <c r="I867" s="4">
        <v>61800</v>
      </c>
      <c r="J867" s="4">
        <v>3000</v>
      </c>
      <c r="K867" s="4">
        <v>886200</v>
      </c>
      <c r="L867" s="4">
        <v>830700</v>
      </c>
      <c r="M867" s="4">
        <f>Tabla1[[#This Row],[BASE DEL DIA]]+Tabla1[[#This Row],[ENTREGAS]]+Tabla1[[#This Row],[TARJETAS]]+Tabla1[[#This Row],[NEQUI O QR]]+Tabla1[[#This Row],[VENTAS FE.CREDITO]]-Tabla1[[#This Row],[VENTAS NETAS]]-Tabla1[[#This Row],[BASE ANTERIOR]]</f>
        <v>7700</v>
      </c>
    </row>
    <row r="868" spans="1:13" ht="13.5" customHeight="1" x14ac:dyDescent="0.2">
      <c r="A868" s="1">
        <v>5808</v>
      </c>
      <c r="B868" s="2">
        <v>45431</v>
      </c>
      <c r="C868" s="3" t="s">
        <v>61</v>
      </c>
      <c r="D868" s="1" t="s">
        <v>20</v>
      </c>
      <c r="E868" s="1" t="s">
        <v>22</v>
      </c>
      <c r="F868" s="4">
        <v>4049274</v>
      </c>
      <c r="G868" s="4">
        <v>4153800</v>
      </c>
      <c r="H868" s="4">
        <v>117800</v>
      </c>
      <c r="I868" s="4">
        <v>0</v>
      </c>
      <c r="J868" s="4">
        <v>0</v>
      </c>
      <c r="K868" s="4">
        <v>830700</v>
      </c>
      <c r="L868" s="4">
        <v>1055700</v>
      </c>
      <c r="M868" s="4">
        <f>Tabla1[[#This Row],[BASE DEL DIA]]+Tabla1[[#This Row],[ENTREGAS]]+Tabla1[[#This Row],[TARJETAS]]+Tabla1[[#This Row],[NEQUI O QR]]+Tabla1[[#This Row],[VENTAS FE.CREDITO]]-Tabla1[[#This Row],[VENTAS NETAS]]-Tabla1[[#This Row],[BASE ANTERIOR]]</f>
        <v>-2674</v>
      </c>
    </row>
    <row r="869" spans="1:13" ht="13.5" customHeight="1" x14ac:dyDescent="0.2">
      <c r="A869" s="1">
        <v>5807</v>
      </c>
      <c r="B869" s="2">
        <v>45430</v>
      </c>
      <c r="C869" s="3" t="s">
        <v>72</v>
      </c>
      <c r="D869" s="1" t="s">
        <v>98</v>
      </c>
      <c r="E869" s="1" t="s">
        <v>22</v>
      </c>
      <c r="F869" s="4">
        <v>5361080</v>
      </c>
      <c r="G869" s="4">
        <v>5121800</v>
      </c>
      <c r="H869" s="4">
        <v>166940</v>
      </c>
      <c r="I869" s="4">
        <v>0</v>
      </c>
      <c r="J869" s="4">
        <v>0</v>
      </c>
      <c r="K869" s="4">
        <v>1055700</v>
      </c>
      <c r="L869" s="4">
        <v>983360</v>
      </c>
      <c r="M869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870" spans="1:13" ht="13.5" customHeight="1" x14ac:dyDescent="0.2">
      <c r="A870" s="1">
        <v>5806</v>
      </c>
      <c r="B870" s="2">
        <v>45430</v>
      </c>
      <c r="C870" s="3" t="s">
        <v>59</v>
      </c>
      <c r="D870" s="1" t="s">
        <v>98</v>
      </c>
      <c r="E870" s="1" t="s">
        <v>22</v>
      </c>
      <c r="F870" s="4">
        <v>3378380</v>
      </c>
      <c r="G870" s="4">
        <v>2918000</v>
      </c>
      <c r="H870" s="4">
        <v>191300</v>
      </c>
      <c r="I870" s="4">
        <v>109200</v>
      </c>
      <c r="J870" s="4">
        <v>76100</v>
      </c>
      <c r="K870" s="4">
        <v>983360</v>
      </c>
      <c r="L870" s="4">
        <v>898400</v>
      </c>
      <c r="M870" s="4">
        <f>Tabla1[[#This Row],[BASE DEL DIA]]+Tabla1[[#This Row],[ENTREGAS]]+Tabla1[[#This Row],[TARJETAS]]+Tabla1[[#This Row],[NEQUI O QR]]+Tabla1[[#This Row],[VENTAS FE.CREDITO]]-Tabla1[[#This Row],[VENTAS NETAS]]-Tabla1[[#This Row],[BASE ANTERIOR]]</f>
        <v>1180</v>
      </c>
    </row>
    <row r="871" spans="1:13" ht="13.5" customHeight="1" x14ac:dyDescent="0.2">
      <c r="A871" s="1">
        <v>5805</v>
      </c>
      <c r="B871" s="2">
        <v>45429</v>
      </c>
      <c r="C871" s="3" t="s">
        <v>43</v>
      </c>
      <c r="D871" s="1" t="s">
        <v>17</v>
      </c>
      <c r="E871" s="1" t="s">
        <v>23</v>
      </c>
      <c r="F871" s="4">
        <v>4682460</v>
      </c>
      <c r="G871" s="4">
        <v>3751800</v>
      </c>
      <c r="H871" s="4">
        <v>1022600</v>
      </c>
      <c r="I871" s="4">
        <v>5600</v>
      </c>
      <c r="J871" s="4">
        <v>0</v>
      </c>
      <c r="K871" s="4">
        <v>898400</v>
      </c>
      <c r="L871" s="4">
        <v>948850</v>
      </c>
      <c r="M871" s="4">
        <f>Tabla1[[#This Row],[BASE DEL DIA]]+Tabla1[[#This Row],[ENTREGAS]]+Tabla1[[#This Row],[TARJETAS]]+Tabla1[[#This Row],[NEQUI O QR]]+Tabla1[[#This Row],[VENTAS FE.CREDITO]]-Tabla1[[#This Row],[VENTAS NETAS]]-Tabla1[[#This Row],[BASE ANTERIOR]]</f>
        <v>47090</v>
      </c>
    </row>
    <row r="872" spans="1:13" ht="13.5" customHeight="1" x14ac:dyDescent="0.2">
      <c r="A872" s="1">
        <v>5804</v>
      </c>
      <c r="B872" s="2">
        <v>45429</v>
      </c>
      <c r="C872" s="3" t="s">
        <v>59</v>
      </c>
      <c r="D872" s="1" t="s">
        <v>18</v>
      </c>
      <c r="E872" s="1" t="s">
        <v>22</v>
      </c>
      <c r="F872" s="4">
        <v>3758620</v>
      </c>
      <c r="G872" s="4">
        <v>3510000</v>
      </c>
      <c r="H872" s="4">
        <v>222360</v>
      </c>
      <c r="I872" s="4">
        <v>0</v>
      </c>
      <c r="J872" s="4">
        <v>0</v>
      </c>
      <c r="K872" s="4">
        <v>948850</v>
      </c>
      <c r="L872" s="4">
        <v>927100</v>
      </c>
      <c r="M872" s="4">
        <f>Tabla1[[#This Row],[BASE DEL DIA]]+Tabla1[[#This Row],[ENTREGAS]]+Tabla1[[#This Row],[TARJETAS]]+Tabla1[[#This Row],[NEQUI O QR]]+Tabla1[[#This Row],[VENTAS FE.CREDITO]]-Tabla1[[#This Row],[VENTAS NETAS]]-Tabla1[[#This Row],[BASE ANTERIOR]]</f>
        <v>-4510</v>
      </c>
    </row>
    <row r="873" spans="1:13" ht="13.5" customHeight="1" x14ac:dyDescent="0.2">
      <c r="A873" s="1">
        <v>5803</v>
      </c>
      <c r="B873" s="2">
        <v>45428</v>
      </c>
      <c r="C873" s="3" t="s">
        <v>45</v>
      </c>
      <c r="D873" s="1" t="s">
        <v>60</v>
      </c>
      <c r="E873" s="1" t="s">
        <v>23</v>
      </c>
      <c r="F873" s="4">
        <v>5836200</v>
      </c>
      <c r="G873" s="4">
        <v>5153500</v>
      </c>
      <c r="H873" s="4">
        <v>497320</v>
      </c>
      <c r="I873" s="4">
        <v>7100</v>
      </c>
      <c r="J873" s="4">
        <v>231291</v>
      </c>
      <c r="K873" s="4">
        <v>927100</v>
      </c>
      <c r="L873" s="4">
        <v>977950</v>
      </c>
      <c r="M873" s="4">
        <f>Tabla1[[#This Row],[BASE DEL DIA]]+Tabla1[[#This Row],[ENTREGAS]]+Tabla1[[#This Row],[TARJETAS]]+Tabla1[[#This Row],[NEQUI O QR]]+Tabla1[[#This Row],[VENTAS FE.CREDITO]]-Tabla1[[#This Row],[VENTAS NETAS]]-Tabla1[[#This Row],[BASE ANTERIOR]]</f>
        <v>2161</v>
      </c>
    </row>
    <row r="874" spans="1:13" ht="13.5" customHeight="1" x14ac:dyDescent="0.2">
      <c r="A874" s="1">
        <v>5802</v>
      </c>
      <c r="B874" s="2">
        <v>45428</v>
      </c>
      <c r="C874" s="3" t="s">
        <v>111</v>
      </c>
      <c r="D874" s="1" t="s">
        <v>17</v>
      </c>
      <c r="E874" s="1" t="s">
        <v>71</v>
      </c>
      <c r="F874" s="4">
        <v>3283800</v>
      </c>
      <c r="G874" s="4">
        <v>2932200</v>
      </c>
      <c r="H874" s="4">
        <v>278900</v>
      </c>
      <c r="I874" s="4">
        <v>0</v>
      </c>
      <c r="J874" s="4">
        <v>0</v>
      </c>
      <c r="K874" s="4">
        <v>977950</v>
      </c>
      <c r="L874" s="4">
        <v>906150</v>
      </c>
      <c r="M874" s="4">
        <f>Tabla1[[#This Row],[BASE DEL DIA]]+Tabla1[[#This Row],[ENTREGAS]]+Tabla1[[#This Row],[TARJETAS]]+Tabla1[[#This Row],[NEQUI O QR]]+Tabla1[[#This Row],[VENTAS FE.CREDITO]]-Tabla1[[#This Row],[VENTAS NETAS]]-Tabla1[[#This Row],[BASE ANTERIOR]]</f>
        <v>-900</v>
      </c>
    </row>
    <row r="875" spans="1:13" ht="13.5" customHeight="1" x14ac:dyDescent="0.2">
      <c r="A875" s="1">
        <v>5801</v>
      </c>
      <c r="B875" s="2">
        <v>45427</v>
      </c>
      <c r="C875" s="3" t="s">
        <v>42</v>
      </c>
      <c r="D875" s="1" t="s">
        <v>17</v>
      </c>
      <c r="E875" s="1" t="s">
        <v>23</v>
      </c>
      <c r="F875" s="4">
        <v>5111280</v>
      </c>
      <c r="G875" s="4">
        <v>4475451</v>
      </c>
      <c r="H875" s="4">
        <v>606360</v>
      </c>
      <c r="I875" s="4">
        <v>6700</v>
      </c>
      <c r="J875" s="4">
        <v>0</v>
      </c>
      <c r="K875" s="4">
        <v>906150</v>
      </c>
      <c r="L875" s="4">
        <v>883200</v>
      </c>
      <c r="M875" s="4">
        <f>Tabla1[[#This Row],[BASE DEL DIA]]+Tabla1[[#This Row],[ENTREGAS]]+Tabla1[[#This Row],[TARJETAS]]+Tabla1[[#This Row],[NEQUI O QR]]+Tabla1[[#This Row],[VENTAS FE.CREDITO]]-Tabla1[[#This Row],[VENTAS NETAS]]-Tabla1[[#This Row],[BASE ANTERIOR]]</f>
        <v>181</v>
      </c>
    </row>
    <row r="876" spans="1:13" ht="13.5" customHeight="1" x14ac:dyDescent="0.2">
      <c r="A876" s="1">
        <v>5800</v>
      </c>
      <c r="B876" s="2">
        <v>45427</v>
      </c>
      <c r="C876" s="3" t="s">
        <v>49</v>
      </c>
      <c r="D876" s="1" t="s">
        <v>18</v>
      </c>
      <c r="E876" s="1" t="s">
        <v>22</v>
      </c>
      <c r="F876" s="4">
        <v>1936180</v>
      </c>
      <c r="G876" s="4">
        <v>1909400</v>
      </c>
      <c r="H876" s="4">
        <v>32600</v>
      </c>
      <c r="I876" s="4">
        <v>0</v>
      </c>
      <c r="J876" s="4">
        <v>2300</v>
      </c>
      <c r="K876" s="4">
        <v>883200</v>
      </c>
      <c r="L876" s="4">
        <v>890900</v>
      </c>
      <c r="M876" s="4">
        <f>Tabla1[[#This Row],[BASE DEL DIA]]+Tabla1[[#This Row],[ENTREGAS]]+Tabla1[[#This Row],[TARJETAS]]+Tabla1[[#This Row],[NEQUI O QR]]+Tabla1[[#This Row],[VENTAS FE.CREDITO]]-Tabla1[[#This Row],[VENTAS NETAS]]-Tabla1[[#This Row],[BASE ANTERIOR]]</f>
        <v>420</v>
      </c>
    </row>
    <row r="877" spans="1:13" ht="13.5" customHeight="1" x14ac:dyDescent="0.2">
      <c r="A877" s="1">
        <v>5799</v>
      </c>
      <c r="B877" s="2">
        <v>45426</v>
      </c>
      <c r="C877" s="3" t="s">
        <v>42</v>
      </c>
      <c r="D877" s="1" t="s">
        <v>18</v>
      </c>
      <c r="E877" s="1" t="s">
        <v>23</v>
      </c>
      <c r="F877" s="4">
        <v>4530240</v>
      </c>
      <c r="G877" s="4">
        <v>4166800</v>
      </c>
      <c r="H877" s="4">
        <v>395360</v>
      </c>
      <c r="I877" s="4">
        <v>0</v>
      </c>
      <c r="J877" s="4">
        <v>5800</v>
      </c>
      <c r="K877" s="4">
        <v>890900</v>
      </c>
      <c r="L877" s="4">
        <v>930200</v>
      </c>
      <c r="M877" s="4">
        <f>Tabla1[[#This Row],[BASE DEL DIA]]+Tabla1[[#This Row],[ENTREGAS]]+Tabla1[[#This Row],[TARJETAS]]+Tabla1[[#This Row],[NEQUI O QR]]+Tabla1[[#This Row],[VENTAS FE.CREDITO]]-Tabla1[[#This Row],[VENTAS NETAS]]-Tabla1[[#This Row],[BASE ANTERIOR]]</f>
        <v>-1580</v>
      </c>
    </row>
    <row r="878" spans="1:13" ht="13.5" customHeight="1" x14ac:dyDescent="0.2">
      <c r="A878" s="1">
        <v>5798</v>
      </c>
      <c r="B878" s="2">
        <v>45426</v>
      </c>
      <c r="C878" s="3" t="s">
        <v>58</v>
      </c>
      <c r="D878" s="1" t="s">
        <v>98</v>
      </c>
      <c r="E878" s="1" t="s">
        <v>22</v>
      </c>
      <c r="F878" s="4">
        <v>2321000</v>
      </c>
      <c r="G878" s="4">
        <v>2238750</v>
      </c>
      <c r="H878" s="4">
        <v>24700</v>
      </c>
      <c r="I878" s="4">
        <v>24400</v>
      </c>
      <c r="J878" s="4">
        <v>0</v>
      </c>
      <c r="K878" s="4">
        <v>930200</v>
      </c>
      <c r="L878" s="4">
        <v>896850</v>
      </c>
      <c r="M878" s="4">
        <f>Tabla1[[#This Row],[BASE DEL DIA]]+Tabla1[[#This Row],[ENTREGAS]]+Tabla1[[#This Row],[TARJETAS]]+Tabla1[[#This Row],[NEQUI O QR]]+Tabla1[[#This Row],[VENTAS FE.CREDITO]]-Tabla1[[#This Row],[VENTAS NETAS]]-Tabla1[[#This Row],[BASE ANTERIOR]]</f>
        <v>200</v>
      </c>
    </row>
    <row r="879" spans="1:13" ht="13.5" customHeight="1" x14ac:dyDescent="0.2">
      <c r="A879" s="1">
        <v>5797</v>
      </c>
      <c r="B879" s="2">
        <v>45425</v>
      </c>
      <c r="C879" s="3" t="s">
        <v>63</v>
      </c>
      <c r="D879" s="1" t="s">
        <v>17</v>
      </c>
      <c r="E879" s="1" t="s">
        <v>23</v>
      </c>
      <c r="F879" s="4">
        <v>4899900</v>
      </c>
      <c r="G879" s="4">
        <v>4728400</v>
      </c>
      <c r="H879" s="4">
        <v>180600</v>
      </c>
      <c r="I879" s="4">
        <v>0</v>
      </c>
      <c r="J879" s="4">
        <v>13000</v>
      </c>
      <c r="K879" s="4">
        <v>896850</v>
      </c>
      <c r="L879" s="4">
        <v>918300</v>
      </c>
      <c r="M879" s="4">
        <f>Tabla1[[#This Row],[BASE DEL DIA]]+Tabla1[[#This Row],[ENTREGAS]]+Tabla1[[#This Row],[TARJETAS]]+Tabla1[[#This Row],[NEQUI O QR]]+Tabla1[[#This Row],[VENTAS FE.CREDITO]]-Tabla1[[#This Row],[VENTAS NETAS]]-Tabla1[[#This Row],[BASE ANTERIOR]]</f>
        <v>650</v>
      </c>
    </row>
    <row r="880" spans="1:13" ht="13.5" customHeight="1" x14ac:dyDescent="0.2">
      <c r="A880" s="1">
        <v>5796</v>
      </c>
      <c r="B880" s="2">
        <v>45425</v>
      </c>
      <c r="C880" s="3" t="s">
        <v>57</v>
      </c>
      <c r="D880" s="1" t="s">
        <v>19</v>
      </c>
      <c r="E880" s="1" t="s">
        <v>22</v>
      </c>
      <c r="F880" s="4">
        <v>2925000</v>
      </c>
      <c r="G880" s="4">
        <v>2872300</v>
      </c>
      <c r="H880" s="4">
        <v>23300</v>
      </c>
      <c r="I880" s="4">
        <v>0</v>
      </c>
      <c r="J880" s="4">
        <v>0</v>
      </c>
      <c r="K880" s="4">
        <v>918300</v>
      </c>
      <c r="L880" s="4">
        <v>886950</v>
      </c>
      <c r="M880" s="4">
        <f>Tabla1[[#This Row],[BASE DEL DIA]]+Tabla1[[#This Row],[ENTREGAS]]+Tabla1[[#This Row],[TARJETAS]]+Tabla1[[#This Row],[NEQUI O QR]]+Tabla1[[#This Row],[VENTAS FE.CREDITO]]-Tabla1[[#This Row],[VENTAS NETAS]]-Tabla1[[#This Row],[BASE ANTERIOR]]</f>
        <v>1950</v>
      </c>
    </row>
    <row r="881" spans="1:13" ht="13.5" customHeight="1" x14ac:dyDescent="0.2">
      <c r="A881" s="1">
        <v>5795</v>
      </c>
      <c r="B881" s="2">
        <v>45424</v>
      </c>
      <c r="C881" s="3" t="s">
        <v>110</v>
      </c>
      <c r="D881" s="1" t="s">
        <v>18</v>
      </c>
      <c r="E881" s="1" t="s">
        <v>23</v>
      </c>
      <c r="F881" s="4">
        <v>4047500</v>
      </c>
      <c r="G881" s="4">
        <v>3894000</v>
      </c>
      <c r="H881" s="4">
        <v>101600</v>
      </c>
      <c r="I881" s="4">
        <v>59000</v>
      </c>
      <c r="J881" s="4">
        <v>102800</v>
      </c>
      <c r="K881" s="4">
        <v>886950</v>
      </c>
      <c r="L881" s="4">
        <v>992150</v>
      </c>
      <c r="M881" s="4">
        <f>Tabla1[[#This Row],[BASE DEL DIA]]+Tabla1[[#This Row],[ENTREGAS]]+Tabla1[[#This Row],[TARJETAS]]+Tabla1[[#This Row],[NEQUI O QR]]+Tabla1[[#This Row],[VENTAS FE.CREDITO]]-Tabla1[[#This Row],[VENTAS NETAS]]-Tabla1[[#This Row],[BASE ANTERIOR]]</f>
        <v>4700</v>
      </c>
    </row>
    <row r="882" spans="1:13" ht="13.5" customHeight="1" x14ac:dyDescent="0.2">
      <c r="A882" s="1">
        <v>5794</v>
      </c>
      <c r="B882" s="2">
        <v>45424</v>
      </c>
      <c r="C882" s="3" t="s">
        <v>81</v>
      </c>
      <c r="D882" s="1" t="s">
        <v>17</v>
      </c>
      <c r="E882" s="1" t="s">
        <v>22</v>
      </c>
      <c r="F882" s="4">
        <v>4158200</v>
      </c>
      <c r="G882" s="4">
        <v>3936700</v>
      </c>
      <c r="H882" s="4">
        <v>164600</v>
      </c>
      <c r="I882" s="4">
        <v>0</v>
      </c>
      <c r="J882" s="4">
        <v>8200</v>
      </c>
      <c r="K882" s="4">
        <v>992150</v>
      </c>
      <c r="L882" s="4">
        <v>941050</v>
      </c>
      <c r="M882" s="4">
        <f>Tabla1[[#This Row],[BASE DEL DIA]]+Tabla1[[#This Row],[ENTREGAS]]+Tabla1[[#This Row],[TARJETAS]]+Tabla1[[#This Row],[NEQUI O QR]]+Tabla1[[#This Row],[VENTAS FE.CREDITO]]-Tabla1[[#This Row],[VENTAS NETAS]]-Tabla1[[#This Row],[BASE ANTERIOR]]</f>
        <v>2400</v>
      </c>
    </row>
    <row r="883" spans="1:13" ht="13.5" customHeight="1" x14ac:dyDescent="0.2">
      <c r="A883" s="1">
        <v>5793</v>
      </c>
      <c r="B883" s="2">
        <v>45423</v>
      </c>
      <c r="C883" s="3" t="s">
        <v>50</v>
      </c>
      <c r="D883" s="1" t="s">
        <v>17</v>
      </c>
      <c r="E883" s="1" t="s">
        <v>23</v>
      </c>
      <c r="F883" s="4">
        <v>5476700</v>
      </c>
      <c r="G883" s="4">
        <v>4932100</v>
      </c>
      <c r="H883" s="4">
        <v>557300</v>
      </c>
      <c r="I883" s="4">
        <v>29000</v>
      </c>
      <c r="J883" s="4">
        <v>0</v>
      </c>
      <c r="K883" s="4">
        <v>940650</v>
      </c>
      <c r="L883" s="4">
        <v>987750</v>
      </c>
      <c r="M883" s="4">
        <f>Tabla1[[#This Row],[BASE DEL DIA]]+Tabla1[[#This Row],[ENTREGAS]]+Tabla1[[#This Row],[TARJETAS]]+Tabla1[[#This Row],[NEQUI O QR]]+Tabla1[[#This Row],[VENTAS FE.CREDITO]]-Tabla1[[#This Row],[VENTAS NETAS]]-Tabla1[[#This Row],[BASE ANTERIOR]]</f>
        <v>-5400</v>
      </c>
    </row>
    <row r="884" spans="1:13" ht="13.5" customHeight="1" x14ac:dyDescent="0.2">
      <c r="A884" s="1">
        <v>5792</v>
      </c>
      <c r="B884" s="2">
        <v>45423</v>
      </c>
      <c r="C884" s="3" t="s">
        <v>109</v>
      </c>
      <c r="D884" s="1" t="s">
        <v>18</v>
      </c>
      <c r="E884" s="1" t="s">
        <v>22</v>
      </c>
      <c r="F884" s="4">
        <v>3096950</v>
      </c>
      <c r="G884" s="4">
        <v>2979900</v>
      </c>
      <c r="H884" s="4">
        <v>67600</v>
      </c>
      <c r="I884" s="4">
        <v>0</v>
      </c>
      <c r="J884" s="4">
        <v>35500</v>
      </c>
      <c r="K884" s="4">
        <v>987750</v>
      </c>
      <c r="L884" s="4">
        <v>973700</v>
      </c>
      <c r="M884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885" spans="1:13" ht="13.5" customHeight="1" x14ac:dyDescent="0.2">
      <c r="A885" s="1">
        <v>5790</v>
      </c>
      <c r="B885" s="2">
        <v>45422</v>
      </c>
      <c r="C885" s="3" t="s">
        <v>40</v>
      </c>
      <c r="D885" s="1" t="s">
        <v>18</v>
      </c>
      <c r="E885" s="1" t="s">
        <v>23</v>
      </c>
      <c r="F885" s="4">
        <v>2692400</v>
      </c>
      <c r="G885" s="4">
        <v>2426000</v>
      </c>
      <c r="H885" s="4">
        <v>251800</v>
      </c>
      <c r="I885" s="4">
        <v>0</v>
      </c>
      <c r="J885" s="4">
        <v>14400</v>
      </c>
      <c r="K885" s="4">
        <v>973700</v>
      </c>
      <c r="L885" s="4">
        <v>972850</v>
      </c>
      <c r="M885" s="4">
        <f>Tabla1[[#This Row],[BASE DEL DIA]]+Tabla1[[#This Row],[ENTREGAS]]+Tabla1[[#This Row],[TARJETAS]]+Tabla1[[#This Row],[NEQUI O QR]]+Tabla1[[#This Row],[VENTAS FE.CREDITO]]-Tabla1[[#This Row],[VENTAS NETAS]]-Tabla1[[#This Row],[BASE ANTERIOR]]</f>
        <v>650</v>
      </c>
    </row>
    <row r="886" spans="1:13" ht="13.5" customHeight="1" x14ac:dyDescent="0.2">
      <c r="A886" s="1">
        <v>5790</v>
      </c>
      <c r="B886" s="2">
        <v>45422</v>
      </c>
      <c r="C886" s="3" t="s">
        <v>108</v>
      </c>
      <c r="D886" s="1" t="s">
        <v>17</v>
      </c>
      <c r="E886" s="1" t="s">
        <v>22</v>
      </c>
      <c r="F886" s="4">
        <v>2953300</v>
      </c>
      <c r="G886" s="4">
        <v>2703900</v>
      </c>
      <c r="H886" s="4">
        <v>137700</v>
      </c>
      <c r="I886" s="4">
        <v>0</v>
      </c>
      <c r="J886" s="4">
        <v>0</v>
      </c>
      <c r="K886" s="4">
        <v>972850</v>
      </c>
      <c r="L886" s="4">
        <v>861100</v>
      </c>
      <c r="M886" s="4">
        <f>Tabla1[[#This Row],[BASE DEL DIA]]+Tabla1[[#This Row],[ENTREGAS]]+Tabla1[[#This Row],[TARJETAS]]+Tabla1[[#This Row],[NEQUI O QR]]+Tabla1[[#This Row],[VENTAS FE.CREDITO]]-Tabla1[[#This Row],[VENTAS NETAS]]-Tabla1[[#This Row],[BASE ANTERIOR]]</f>
        <v>50</v>
      </c>
    </row>
    <row r="887" spans="1:13" ht="13.5" customHeight="1" x14ac:dyDescent="0.2">
      <c r="A887" s="1">
        <v>5789</v>
      </c>
      <c r="B887" s="2">
        <v>45421</v>
      </c>
      <c r="C887" s="3" t="s">
        <v>52</v>
      </c>
      <c r="D887" s="1" t="s">
        <v>17</v>
      </c>
      <c r="E887" s="1" t="s">
        <v>23</v>
      </c>
      <c r="F887" s="4">
        <v>3522400</v>
      </c>
      <c r="G887" s="4">
        <v>3438000</v>
      </c>
      <c r="H887" s="4">
        <v>171100</v>
      </c>
      <c r="I887" s="4">
        <v>0</v>
      </c>
      <c r="J887" s="4">
        <v>12300</v>
      </c>
      <c r="K887" s="4">
        <v>861100</v>
      </c>
      <c r="L887" s="4">
        <v>957100</v>
      </c>
      <c r="M887" s="4">
        <f>Tabla1[[#This Row],[BASE DEL DIA]]+Tabla1[[#This Row],[ENTREGAS]]+Tabla1[[#This Row],[TARJETAS]]+Tabla1[[#This Row],[NEQUI O QR]]+Tabla1[[#This Row],[VENTAS FE.CREDITO]]-Tabla1[[#This Row],[VENTAS NETAS]]-Tabla1[[#This Row],[BASE ANTERIOR]]</f>
        <v>3000</v>
      </c>
    </row>
    <row r="888" spans="1:13" ht="13.5" customHeight="1" x14ac:dyDescent="0.2">
      <c r="A888" s="1">
        <v>5788</v>
      </c>
      <c r="B888" s="2">
        <v>45421</v>
      </c>
      <c r="C888" s="3" t="s">
        <v>59</v>
      </c>
      <c r="D888" s="1" t="s">
        <v>18</v>
      </c>
      <c r="E888" s="1" t="s">
        <v>22</v>
      </c>
      <c r="F888" s="4">
        <v>1522500</v>
      </c>
      <c r="G888" s="4">
        <v>1426100</v>
      </c>
      <c r="H888" s="4">
        <v>83100</v>
      </c>
      <c r="I888" s="4">
        <v>0</v>
      </c>
      <c r="J888" s="4">
        <v>1900</v>
      </c>
      <c r="K888" s="4">
        <v>957100</v>
      </c>
      <c r="L888" s="4">
        <v>945700</v>
      </c>
      <c r="M888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889" spans="1:13" ht="13.5" customHeight="1" x14ac:dyDescent="0.2">
      <c r="A889" s="1">
        <v>5787</v>
      </c>
      <c r="B889" s="2">
        <v>45420</v>
      </c>
      <c r="C889" s="3" t="s">
        <v>107</v>
      </c>
      <c r="D889" s="1" t="s">
        <v>18</v>
      </c>
      <c r="E889" s="1" t="s">
        <v>23</v>
      </c>
      <c r="F889" s="4">
        <v>3374650</v>
      </c>
      <c r="G889" s="4">
        <v>3228500</v>
      </c>
      <c r="H889" s="4">
        <v>120800</v>
      </c>
      <c r="I889" s="4">
        <v>30300</v>
      </c>
      <c r="J889" s="4">
        <v>32600</v>
      </c>
      <c r="K889" s="4">
        <v>945700</v>
      </c>
      <c r="L889" s="4">
        <v>983150</v>
      </c>
      <c r="M889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890" spans="1:13" ht="13.5" customHeight="1" x14ac:dyDescent="0.2">
      <c r="A890" s="1">
        <v>5786</v>
      </c>
      <c r="B890" s="2">
        <v>45420</v>
      </c>
      <c r="C890" s="3" t="s">
        <v>64</v>
      </c>
      <c r="D890" s="1" t="s">
        <v>17</v>
      </c>
      <c r="E890" s="1" t="s">
        <v>22</v>
      </c>
      <c r="F890" s="4">
        <v>2770000</v>
      </c>
      <c r="G890" s="4">
        <v>2592200</v>
      </c>
      <c r="H890" s="4">
        <v>70200</v>
      </c>
      <c r="I890" s="4">
        <v>28200</v>
      </c>
      <c r="J890" s="4">
        <v>17700</v>
      </c>
      <c r="K890" s="4">
        <v>983150</v>
      </c>
      <c r="L890" s="4">
        <v>919450</v>
      </c>
      <c r="M890" s="4">
        <f>Tabla1[[#This Row],[BASE DEL DIA]]+Tabla1[[#This Row],[ENTREGAS]]+Tabla1[[#This Row],[TARJETAS]]+Tabla1[[#This Row],[NEQUI O QR]]+Tabla1[[#This Row],[VENTAS FE.CREDITO]]-Tabla1[[#This Row],[VENTAS NETAS]]-Tabla1[[#This Row],[BASE ANTERIOR]]</f>
        <v>2000</v>
      </c>
    </row>
    <row r="891" spans="1:13" ht="13.5" customHeight="1" x14ac:dyDescent="0.2">
      <c r="A891" s="1">
        <v>5785</v>
      </c>
      <c r="B891" s="2">
        <v>45419</v>
      </c>
      <c r="C891" s="3" t="s">
        <v>94</v>
      </c>
      <c r="D891" s="1" t="s">
        <v>17</v>
      </c>
      <c r="E891" s="1" t="s">
        <v>23</v>
      </c>
      <c r="F891" s="4">
        <v>4580600</v>
      </c>
      <c r="G891" s="4">
        <v>3874600</v>
      </c>
      <c r="H891" s="4">
        <v>295500</v>
      </c>
      <c r="I891" s="4">
        <v>475500</v>
      </c>
      <c r="J891" s="4">
        <v>8100</v>
      </c>
      <c r="K891" s="4">
        <v>919450</v>
      </c>
      <c r="L891" s="4">
        <v>990050</v>
      </c>
      <c r="M891" s="4">
        <f>Tabla1[[#This Row],[BASE DEL DIA]]+Tabla1[[#This Row],[ENTREGAS]]+Tabla1[[#This Row],[TARJETAS]]+Tabla1[[#This Row],[NEQUI O QR]]+Tabla1[[#This Row],[VENTAS FE.CREDITO]]-Tabla1[[#This Row],[VENTAS NETAS]]-Tabla1[[#This Row],[BASE ANTERIOR]]</f>
        <v>2500</v>
      </c>
    </row>
    <row r="892" spans="1:13" ht="13.5" customHeight="1" x14ac:dyDescent="0.2">
      <c r="A892" s="1">
        <v>5784</v>
      </c>
      <c r="B892" s="2">
        <v>45419</v>
      </c>
      <c r="C892" s="3" t="s">
        <v>55</v>
      </c>
      <c r="D892" s="1" t="s">
        <v>18</v>
      </c>
      <c r="E892" s="1" t="s">
        <v>22</v>
      </c>
      <c r="F892" s="4">
        <v>2739000</v>
      </c>
      <c r="G892" s="4">
        <v>2401150</v>
      </c>
      <c r="H892" s="4">
        <v>346800</v>
      </c>
      <c r="I892" s="4">
        <v>0</v>
      </c>
      <c r="J892" s="4">
        <v>0</v>
      </c>
      <c r="K892" s="4">
        <v>990050</v>
      </c>
      <c r="L892" s="4">
        <v>998950</v>
      </c>
      <c r="M892" s="4">
        <f>Tabla1[[#This Row],[BASE DEL DIA]]+Tabla1[[#This Row],[ENTREGAS]]+Tabla1[[#This Row],[TARJETAS]]+Tabla1[[#This Row],[NEQUI O QR]]+Tabla1[[#This Row],[VENTAS FE.CREDITO]]-Tabla1[[#This Row],[VENTAS NETAS]]-Tabla1[[#This Row],[BASE ANTERIOR]]</f>
        <v>50</v>
      </c>
    </row>
    <row r="893" spans="1:13" ht="13.5" customHeight="1" x14ac:dyDescent="0.2">
      <c r="A893" s="1">
        <v>5783</v>
      </c>
      <c r="B893" s="2">
        <v>45418</v>
      </c>
      <c r="C893" s="3" t="s">
        <v>106</v>
      </c>
      <c r="D893" s="1" t="s">
        <v>18</v>
      </c>
      <c r="E893" s="1" t="s">
        <v>23</v>
      </c>
      <c r="F893" s="4">
        <v>4417750</v>
      </c>
      <c r="G893" s="4">
        <v>4170000</v>
      </c>
      <c r="H893" s="4">
        <v>195900</v>
      </c>
      <c r="I893" s="4">
        <v>0</v>
      </c>
      <c r="J893" s="4">
        <v>0</v>
      </c>
      <c r="K893" s="4">
        <v>998950</v>
      </c>
      <c r="L893" s="4">
        <v>947000</v>
      </c>
      <c r="M893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894" spans="1:13" ht="13.5" customHeight="1" x14ac:dyDescent="0.2">
      <c r="A894" s="1">
        <v>5782</v>
      </c>
      <c r="B894" s="2">
        <v>45418</v>
      </c>
      <c r="C894" s="3" t="s">
        <v>75</v>
      </c>
      <c r="D894" s="1" t="s">
        <v>17</v>
      </c>
      <c r="E894" s="1" t="s">
        <v>22</v>
      </c>
      <c r="F894" s="4">
        <v>2496400</v>
      </c>
      <c r="G894" s="4">
        <v>2326650</v>
      </c>
      <c r="H894" s="4">
        <v>136800</v>
      </c>
      <c r="I894" s="4">
        <v>0</v>
      </c>
      <c r="J894" s="4">
        <v>0</v>
      </c>
      <c r="K894" s="4">
        <v>947000</v>
      </c>
      <c r="L894" s="4">
        <v>913150</v>
      </c>
      <c r="M894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895" spans="1:13" ht="13.5" customHeight="1" x14ac:dyDescent="0.2">
      <c r="A895" s="1">
        <v>5781</v>
      </c>
      <c r="B895" s="2">
        <v>45417</v>
      </c>
      <c r="C895" s="3" t="s">
        <v>105</v>
      </c>
      <c r="D895" s="1" t="s">
        <v>18</v>
      </c>
      <c r="E895" s="1" t="s">
        <v>23</v>
      </c>
      <c r="F895" s="4">
        <v>6192500</v>
      </c>
      <c r="G895" s="4">
        <v>5150400</v>
      </c>
      <c r="H895" s="4">
        <v>583500</v>
      </c>
      <c r="I895" s="4">
        <v>414400</v>
      </c>
      <c r="J895" s="4">
        <v>222700</v>
      </c>
      <c r="K895" s="4">
        <v>913050</v>
      </c>
      <c r="L895" s="4">
        <v>1090100</v>
      </c>
      <c r="M895" s="4">
        <f>Tabla1[[#This Row],[BASE DEL DIA]]+Tabla1[[#This Row],[ENTREGAS]]+Tabla1[[#This Row],[TARJETAS]]+Tabla1[[#This Row],[NEQUI O QR]]+Tabla1[[#This Row],[VENTAS FE.CREDITO]]-Tabla1[[#This Row],[VENTAS NETAS]]-Tabla1[[#This Row],[BASE ANTERIOR]]</f>
        <v>1450</v>
      </c>
    </row>
    <row r="896" spans="1:13" ht="13.5" customHeight="1" x14ac:dyDescent="0.2">
      <c r="A896" s="1">
        <v>5780</v>
      </c>
      <c r="B896" s="2">
        <v>45417</v>
      </c>
      <c r="C896" s="3" t="s">
        <v>104</v>
      </c>
      <c r="D896" s="1" t="s">
        <v>19</v>
      </c>
      <c r="E896" s="1" t="s">
        <v>22</v>
      </c>
      <c r="F896" s="4">
        <v>3084420</v>
      </c>
      <c r="G896" s="4">
        <v>2813300</v>
      </c>
      <c r="H896" s="4">
        <v>582840</v>
      </c>
      <c r="I896" s="4">
        <v>4000</v>
      </c>
      <c r="J896" s="4">
        <v>15600</v>
      </c>
      <c r="K896" s="4">
        <v>1090100</v>
      </c>
      <c r="L896" s="4">
        <v>690400</v>
      </c>
      <c r="M896" s="4">
        <f>Tabla1[[#This Row],[BASE DEL DIA]]+Tabla1[[#This Row],[ENTREGAS]]+Tabla1[[#This Row],[TARJETAS]]+Tabla1[[#This Row],[NEQUI O QR]]+Tabla1[[#This Row],[VENTAS FE.CREDITO]]-Tabla1[[#This Row],[VENTAS NETAS]]-Tabla1[[#This Row],[BASE ANTERIOR]]</f>
        <v>731020</v>
      </c>
    </row>
    <row r="897" spans="1:13" ht="13.5" customHeight="1" x14ac:dyDescent="0.2">
      <c r="A897" s="1">
        <v>5779</v>
      </c>
      <c r="B897" s="2">
        <v>45417</v>
      </c>
      <c r="C897" s="3" t="s">
        <v>103</v>
      </c>
      <c r="D897" s="1" t="s">
        <v>18</v>
      </c>
      <c r="E897" s="1" t="s">
        <v>23</v>
      </c>
      <c r="F897" s="4">
        <v>4186650</v>
      </c>
      <c r="G897" s="4">
        <v>4018000</v>
      </c>
      <c r="H897" s="4">
        <v>196900</v>
      </c>
      <c r="K897" s="4">
        <v>690400</v>
      </c>
      <c r="L897" s="4">
        <v>916900</v>
      </c>
      <c r="M897" s="4">
        <f>Tabla1[[#This Row],[BASE DEL DIA]]+Tabla1[[#This Row],[ENTREGAS]]+Tabla1[[#This Row],[TARJETAS]]+Tabla1[[#This Row],[NEQUI O QR]]+Tabla1[[#This Row],[VENTAS FE.CREDITO]]-Tabla1[[#This Row],[VENTAS NETAS]]-Tabla1[[#This Row],[BASE ANTERIOR]]</f>
        <v>-198250</v>
      </c>
    </row>
    <row r="898" spans="1:13" ht="13.5" customHeight="1" x14ac:dyDescent="0.2">
      <c r="A898" s="1">
        <v>5778</v>
      </c>
      <c r="B898" s="2">
        <v>45416</v>
      </c>
      <c r="C898" s="3" t="s">
        <v>102</v>
      </c>
      <c r="D898" s="1" t="s">
        <v>17</v>
      </c>
      <c r="E898" s="1" t="s">
        <v>23</v>
      </c>
      <c r="F898" s="4">
        <v>2127100</v>
      </c>
      <c r="G898" s="4">
        <v>2055200</v>
      </c>
      <c r="H898" s="4">
        <v>6800</v>
      </c>
      <c r="I898" s="4">
        <v>0</v>
      </c>
      <c r="J898" s="4">
        <v>0</v>
      </c>
      <c r="K898" s="4">
        <v>916900</v>
      </c>
      <c r="L898" s="4">
        <v>849400</v>
      </c>
      <c r="M898" s="4">
        <f>Tabla1[[#This Row],[BASE DEL DIA]]+Tabla1[[#This Row],[ENTREGAS]]+Tabla1[[#This Row],[TARJETAS]]+Tabla1[[#This Row],[NEQUI O QR]]+Tabla1[[#This Row],[VENTAS FE.CREDITO]]-Tabla1[[#This Row],[VENTAS NETAS]]-Tabla1[[#This Row],[BASE ANTERIOR]]</f>
        <v>2400</v>
      </c>
    </row>
    <row r="899" spans="1:13" ht="13.5" customHeight="1" x14ac:dyDescent="0.2">
      <c r="A899" s="1">
        <v>5777</v>
      </c>
      <c r="B899" s="2">
        <v>45415</v>
      </c>
      <c r="C899" s="3" t="s">
        <v>45</v>
      </c>
      <c r="D899" s="1" t="s">
        <v>17</v>
      </c>
      <c r="E899" s="1" t="s">
        <v>23</v>
      </c>
      <c r="F899" s="4">
        <v>5119600</v>
      </c>
      <c r="G899" s="4">
        <v>4970000</v>
      </c>
      <c r="H899" s="4">
        <v>308500</v>
      </c>
      <c r="I899" s="4">
        <v>0</v>
      </c>
      <c r="J899" s="4">
        <v>13500</v>
      </c>
      <c r="K899" s="4">
        <v>849400</v>
      </c>
      <c r="L899" s="4">
        <v>1015050</v>
      </c>
      <c r="M899" s="4">
        <f>Tabla1[[#This Row],[BASE DEL DIA]]+Tabla1[[#This Row],[ENTREGAS]]+Tabla1[[#This Row],[TARJETAS]]+Tabla1[[#This Row],[NEQUI O QR]]+Tabla1[[#This Row],[VENTAS FE.CREDITO]]-Tabla1[[#This Row],[VENTAS NETAS]]-Tabla1[[#This Row],[BASE ANTERIOR]]</f>
        <v>6750</v>
      </c>
    </row>
    <row r="900" spans="1:13" ht="13.5" customHeight="1" x14ac:dyDescent="0.2">
      <c r="A900" s="1">
        <v>5776</v>
      </c>
      <c r="B900" s="2">
        <v>45415</v>
      </c>
      <c r="C900" s="3" t="s">
        <v>101</v>
      </c>
      <c r="D900" s="1" t="s">
        <v>18</v>
      </c>
      <c r="E900" s="1" t="s">
        <v>22</v>
      </c>
      <c r="F900" s="4">
        <v>3150750</v>
      </c>
      <c r="G900" s="4">
        <v>2690000</v>
      </c>
      <c r="H900" s="4">
        <v>349700</v>
      </c>
      <c r="I900" s="4">
        <v>0</v>
      </c>
      <c r="J900" s="4">
        <v>0</v>
      </c>
      <c r="K900" s="4">
        <v>1015050</v>
      </c>
      <c r="L900" s="4">
        <v>903450</v>
      </c>
      <c r="M900" s="4">
        <f>Tabla1[[#This Row],[BASE DEL DIA]]+Tabla1[[#This Row],[ENTREGAS]]+Tabla1[[#This Row],[TARJETAS]]+Tabla1[[#This Row],[NEQUI O QR]]+Tabla1[[#This Row],[VENTAS FE.CREDITO]]-Tabla1[[#This Row],[VENTAS NETAS]]-Tabla1[[#This Row],[BASE ANTERIOR]]</f>
        <v>550</v>
      </c>
    </row>
    <row r="901" spans="1:13" ht="13.5" customHeight="1" x14ac:dyDescent="0.2">
      <c r="A901" s="1">
        <v>5775</v>
      </c>
      <c r="B901" s="2">
        <v>45414</v>
      </c>
      <c r="C901" s="3" t="s">
        <v>40</v>
      </c>
      <c r="D901" s="1" t="s">
        <v>18</v>
      </c>
      <c r="E901" s="1" t="s">
        <v>23</v>
      </c>
      <c r="F901" s="4">
        <v>6727450</v>
      </c>
      <c r="G901" s="4">
        <v>6200000</v>
      </c>
      <c r="H901" s="4">
        <v>248900</v>
      </c>
      <c r="I901" s="4">
        <v>0</v>
      </c>
      <c r="J901" s="4">
        <v>213300</v>
      </c>
      <c r="K901" s="4">
        <v>903450</v>
      </c>
      <c r="L901" s="4">
        <v>836000</v>
      </c>
      <c r="M901" s="4">
        <f>Tabla1[[#This Row],[BASE DEL DIA]]+Tabla1[[#This Row],[ENTREGAS]]+Tabla1[[#This Row],[TARJETAS]]+Tabla1[[#This Row],[NEQUI O QR]]+Tabla1[[#This Row],[VENTAS FE.CREDITO]]-Tabla1[[#This Row],[VENTAS NETAS]]-Tabla1[[#This Row],[BASE ANTERIOR]]</f>
        <v>2200</v>
      </c>
    </row>
    <row r="902" spans="1:13" ht="13.5" customHeight="1" x14ac:dyDescent="0.2">
      <c r="A902" s="1">
        <v>5774</v>
      </c>
      <c r="B902" s="2">
        <v>45414</v>
      </c>
      <c r="C902" s="3" t="s">
        <v>100</v>
      </c>
      <c r="D902" s="1" t="s">
        <v>17</v>
      </c>
      <c r="E902" s="1" t="s">
        <v>22</v>
      </c>
      <c r="F902" s="4">
        <v>2962550</v>
      </c>
      <c r="G902" s="4">
        <v>2987100</v>
      </c>
      <c r="H902" s="4">
        <v>62500</v>
      </c>
      <c r="I902" s="4">
        <v>0</v>
      </c>
      <c r="J902" s="4">
        <v>0</v>
      </c>
      <c r="K902" s="4">
        <v>836000</v>
      </c>
      <c r="L902" s="4">
        <v>922000</v>
      </c>
      <c r="M902" s="4">
        <f>Tabla1[[#This Row],[BASE DEL DIA]]+Tabla1[[#This Row],[ENTREGAS]]+Tabla1[[#This Row],[TARJETAS]]+Tabla1[[#This Row],[NEQUI O QR]]+Tabla1[[#This Row],[VENTAS FE.CREDITO]]-Tabla1[[#This Row],[VENTAS NETAS]]-Tabla1[[#This Row],[BASE ANTERIOR]]</f>
        <v>1050</v>
      </c>
    </row>
    <row r="903" spans="1:13" ht="13.5" customHeight="1" x14ac:dyDescent="0.2">
      <c r="A903" s="1">
        <v>5773</v>
      </c>
      <c r="B903" s="2">
        <v>45413</v>
      </c>
      <c r="C903" s="3" t="s">
        <v>50</v>
      </c>
      <c r="D903" s="1" t="s">
        <v>17</v>
      </c>
      <c r="E903" s="1" t="s">
        <v>23</v>
      </c>
      <c r="F903" s="4">
        <v>7161950</v>
      </c>
      <c r="G903" s="4">
        <v>6437300</v>
      </c>
      <c r="H903" s="4">
        <v>643200</v>
      </c>
      <c r="I903" s="4">
        <v>55800</v>
      </c>
      <c r="J903" s="4">
        <v>18800</v>
      </c>
      <c r="K903" s="4">
        <v>922000</v>
      </c>
      <c r="L903" s="4">
        <v>879550</v>
      </c>
      <c r="M903" s="4">
        <f>Tabla1[[#This Row],[BASE DEL DIA]]+Tabla1[[#This Row],[ENTREGAS]]+Tabla1[[#This Row],[TARJETAS]]+Tabla1[[#This Row],[NEQUI O QR]]+Tabla1[[#This Row],[VENTAS FE.CREDITO]]-Tabla1[[#This Row],[VENTAS NETAS]]-Tabla1[[#This Row],[BASE ANTERIOR]]</f>
        <v>35600</v>
      </c>
    </row>
    <row r="904" spans="1:13" ht="13.5" customHeight="1" x14ac:dyDescent="0.2">
      <c r="A904" s="1">
        <v>5772</v>
      </c>
      <c r="B904" s="2">
        <v>45413</v>
      </c>
      <c r="C904" s="3" t="s">
        <v>99</v>
      </c>
      <c r="D904" s="1" t="s">
        <v>18</v>
      </c>
      <c r="E904" s="1" t="s">
        <v>22</v>
      </c>
      <c r="F904" s="4">
        <v>3822500</v>
      </c>
      <c r="G904" s="4">
        <v>3349050</v>
      </c>
      <c r="H904" s="4">
        <v>481300</v>
      </c>
      <c r="I904" s="4">
        <v>18000</v>
      </c>
      <c r="J904" s="4">
        <v>-2800</v>
      </c>
      <c r="K904" s="4">
        <v>879550</v>
      </c>
      <c r="L904" s="4">
        <v>898200</v>
      </c>
      <c r="M904" s="4">
        <f>Tabla1[[#This Row],[BASE DEL DIA]]+Tabla1[[#This Row],[ENTREGAS]]+Tabla1[[#This Row],[TARJETAS]]+Tabla1[[#This Row],[NEQUI O QR]]+Tabla1[[#This Row],[VENTAS FE.CREDITO]]-Tabla1[[#This Row],[VENTAS NETAS]]-Tabla1[[#This Row],[BASE ANTERIOR]]</f>
        <v>4400</v>
      </c>
    </row>
    <row r="905" spans="1:13" ht="13.5" customHeight="1" x14ac:dyDescent="0.2">
      <c r="A905" s="1">
        <v>5771</v>
      </c>
      <c r="B905" s="2">
        <v>45412</v>
      </c>
      <c r="C905" s="3" t="s">
        <v>40</v>
      </c>
      <c r="D905" s="1" t="s">
        <v>18</v>
      </c>
      <c r="E905" s="1" t="s">
        <v>23</v>
      </c>
      <c r="F905" s="4">
        <v>4517850</v>
      </c>
      <c r="G905" s="4">
        <v>4080000</v>
      </c>
      <c r="H905" s="4">
        <v>506050</v>
      </c>
      <c r="I905" s="4">
        <v>12300</v>
      </c>
      <c r="J905" s="4">
        <v>7100</v>
      </c>
      <c r="K905" s="4">
        <v>898200</v>
      </c>
      <c r="L905" s="4">
        <v>985050</v>
      </c>
      <c r="M905" s="4">
        <f>Tabla1[[#This Row],[BASE DEL DIA]]+Tabla1[[#This Row],[ENTREGAS]]+Tabla1[[#This Row],[TARJETAS]]+Tabla1[[#This Row],[NEQUI O QR]]+Tabla1[[#This Row],[VENTAS FE.CREDITO]]-Tabla1[[#This Row],[VENTAS NETAS]]-Tabla1[[#This Row],[BASE ANTERIOR]]</f>
        <v>750</v>
      </c>
    </row>
    <row r="906" spans="1:13" ht="13.5" customHeight="1" x14ac:dyDescent="0.2">
      <c r="A906" s="1">
        <v>5770</v>
      </c>
      <c r="B906" s="2">
        <v>45412</v>
      </c>
      <c r="C906" s="3" t="s">
        <v>86</v>
      </c>
      <c r="D906" s="1" t="s">
        <v>17</v>
      </c>
      <c r="E906" s="1" t="s">
        <v>22</v>
      </c>
      <c r="F906" s="4">
        <v>3068200</v>
      </c>
      <c r="G906" s="4">
        <v>2945250</v>
      </c>
      <c r="H906" s="4">
        <v>42300</v>
      </c>
      <c r="I906" s="4">
        <v>0</v>
      </c>
      <c r="J906" s="4">
        <v>1700</v>
      </c>
      <c r="K906" s="4">
        <v>985050</v>
      </c>
      <c r="L906" s="4">
        <v>904800</v>
      </c>
      <c r="M906" s="4">
        <f>Tabla1[[#This Row],[BASE DEL DIA]]+Tabla1[[#This Row],[ENTREGAS]]+Tabla1[[#This Row],[TARJETAS]]+Tabla1[[#This Row],[NEQUI O QR]]+Tabla1[[#This Row],[VENTAS FE.CREDITO]]-Tabla1[[#This Row],[VENTAS NETAS]]-Tabla1[[#This Row],[BASE ANTERIOR]]</f>
        <v>1300</v>
      </c>
    </row>
    <row r="907" spans="1:13" ht="13.5" customHeight="1" x14ac:dyDescent="0.2">
      <c r="A907" s="1">
        <v>5769</v>
      </c>
      <c r="B907" s="2">
        <v>45411</v>
      </c>
      <c r="C907" s="3" t="s">
        <v>54</v>
      </c>
      <c r="D907" s="1" t="s">
        <v>17</v>
      </c>
      <c r="E907" s="1" t="s">
        <v>23</v>
      </c>
      <c r="F907" s="4">
        <v>4614800</v>
      </c>
      <c r="G907" s="4">
        <v>4219300</v>
      </c>
      <c r="H907" s="4">
        <v>482500</v>
      </c>
      <c r="I907" s="4">
        <v>0</v>
      </c>
      <c r="J907" s="4">
        <v>1700</v>
      </c>
      <c r="K907" s="4">
        <v>904800</v>
      </c>
      <c r="L907" s="4">
        <v>987800</v>
      </c>
      <c r="M907" s="4">
        <f>Tabla1[[#This Row],[BASE DEL DIA]]+Tabla1[[#This Row],[ENTREGAS]]+Tabla1[[#This Row],[TARJETAS]]+Tabla1[[#This Row],[NEQUI O QR]]+Tabla1[[#This Row],[VENTAS FE.CREDITO]]-Tabla1[[#This Row],[VENTAS NETAS]]-Tabla1[[#This Row],[BASE ANTERIOR]]</f>
        <v>5700</v>
      </c>
    </row>
    <row r="908" spans="1:13" ht="13.5" customHeight="1" x14ac:dyDescent="0.2">
      <c r="A908" s="1">
        <v>5768</v>
      </c>
      <c r="B908" s="2">
        <v>45411</v>
      </c>
      <c r="C908" s="3" t="s">
        <v>97</v>
      </c>
      <c r="D908" s="1" t="s">
        <v>18</v>
      </c>
      <c r="E908" s="1" t="s">
        <v>22</v>
      </c>
      <c r="F908" s="4">
        <v>2376750</v>
      </c>
      <c r="G908" s="4">
        <v>2288500</v>
      </c>
      <c r="H908" s="4">
        <v>24400</v>
      </c>
      <c r="I908" s="4">
        <v>2600</v>
      </c>
      <c r="K908" s="4">
        <v>987800</v>
      </c>
      <c r="L908" s="4">
        <v>925500</v>
      </c>
      <c r="M908" s="4">
        <f>Tabla1[[#This Row],[BASE DEL DIA]]+Tabla1[[#This Row],[ENTREGAS]]+Tabla1[[#This Row],[TARJETAS]]+Tabla1[[#This Row],[NEQUI O QR]]+Tabla1[[#This Row],[VENTAS FE.CREDITO]]-Tabla1[[#This Row],[VENTAS NETAS]]-Tabla1[[#This Row],[BASE ANTERIOR]]</f>
        <v>1050</v>
      </c>
    </row>
    <row r="909" spans="1:13" ht="13.5" customHeight="1" x14ac:dyDescent="0.2">
      <c r="A909" s="1">
        <v>5767</v>
      </c>
      <c r="B909" s="2">
        <v>45410</v>
      </c>
      <c r="C909" s="3" t="s">
        <v>96</v>
      </c>
      <c r="D909" s="1" t="s">
        <v>18</v>
      </c>
      <c r="E909" s="1" t="s">
        <v>23</v>
      </c>
      <c r="F909" s="4">
        <v>3691200</v>
      </c>
      <c r="G909" s="4">
        <v>3410000</v>
      </c>
      <c r="H909" s="4">
        <v>104200</v>
      </c>
      <c r="I909" s="4">
        <v>76600</v>
      </c>
      <c r="J909" s="4">
        <v>25000</v>
      </c>
      <c r="K909" s="4">
        <v>925500</v>
      </c>
      <c r="L909" s="4">
        <v>850000</v>
      </c>
      <c r="M909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910" spans="1:13" ht="13.5" customHeight="1" x14ac:dyDescent="0.2">
      <c r="A910" s="1">
        <v>5766</v>
      </c>
      <c r="B910" s="2">
        <v>45410</v>
      </c>
      <c r="C910" s="3" t="s">
        <v>88</v>
      </c>
      <c r="D910" s="1" t="s">
        <v>95</v>
      </c>
      <c r="E910" s="1" t="s">
        <v>71</v>
      </c>
      <c r="F910" s="4">
        <v>3636450</v>
      </c>
      <c r="G910" s="4">
        <v>3213000</v>
      </c>
      <c r="H910" s="4">
        <v>409850</v>
      </c>
      <c r="I910" s="4">
        <v>0</v>
      </c>
      <c r="J910" s="4">
        <v>0</v>
      </c>
      <c r="K910" s="4">
        <v>850000</v>
      </c>
      <c r="L910" s="4">
        <v>834800</v>
      </c>
      <c r="M910" s="4">
        <f>Tabla1[[#This Row],[BASE DEL DIA]]+Tabla1[[#This Row],[ENTREGAS]]+Tabla1[[#This Row],[TARJETAS]]+Tabla1[[#This Row],[NEQUI O QR]]+Tabla1[[#This Row],[VENTAS FE.CREDITO]]-Tabla1[[#This Row],[VENTAS NETAS]]-Tabla1[[#This Row],[BASE ANTERIOR]]</f>
        <v>1600</v>
      </c>
    </row>
    <row r="911" spans="1:13" ht="13.5" customHeight="1" x14ac:dyDescent="0.2">
      <c r="A911" s="1">
        <v>5765</v>
      </c>
      <c r="B911" s="2">
        <v>45409</v>
      </c>
      <c r="C911" s="3" t="s">
        <v>94</v>
      </c>
      <c r="D911" s="1" t="s">
        <v>17</v>
      </c>
      <c r="E911" s="1" t="s">
        <v>23</v>
      </c>
      <c r="F911" s="4">
        <v>4516750</v>
      </c>
      <c r="G911" s="4">
        <v>4160300</v>
      </c>
      <c r="H911" s="4">
        <v>364400</v>
      </c>
      <c r="I911" s="4">
        <v>0</v>
      </c>
      <c r="J911" s="4">
        <v>36200</v>
      </c>
      <c r="K911" s="4">
        <v>834800</v>
      </c>
      <c r="L911" s="4">
        <v>878100</v>
      </c>
      <c r="M911" s="4">
        <f>Tabla1[[#This Row],[BASE DEL DIA]]+Tabla1[[#This Row],[ENTREGAS]]+Tabla1[[#This Row],[TARJETAS]]+Tabla1[[#This Row],[NEQUI O QR]]+Tabla1[[#This Row],[VENTAS FE.CREDITO]]-Tabla1[[#This Row],[VENTAS NETAS]]-Tabla1[[#This Row],[BASE ANTERIOR]]</f>
        <v>850</v>
      </c>
    </row>
    <row r="912" spans="1:13" ht="13.5" customHeight="1" x14ac:dyDescent="0.2">
      <c r="A912" s="1">
        <v>5764</v>
      </c>
      <c r="B912" s="2">
        <v>45409</v>
      </c>
      <c r="C912" s="3" t="s">
        <v>76</v>
      </c>
      <c r="D912" s="1" t="s">
        <v>18</v>
      </c>
      <c r="E912" s="1" t="s">
        <v>23</v>
      </c>
      <c r="F912" s="4">
        <v>3315300</v>
      </c>
      <c r="G912" s="4">
        <v>2921300</v>
      </c>
      <c r="H912" s="4">
        <v>392500</v>
      </c>
      <c r="I912" s="4">
        <v>20000</v>
      </c>
      <c r="J912" s="4">
        <v>8700</v>
      </c>
      <c r="K912" s="4">
        <v>878100</v>
      </c>
      <c r="L912" s="4">
        <v>905200</v>
      </c>
      <c r="M912" s="4">
        <f>Tabla1[[#This Row],[BASE DEL DIA]]+Tabla1[[#This Row],[ENTREGAS]]+Tabla1[[#This Row],[TARJETAS]]+Tabla1[[#This Row],[NEQUI O QR]]+Tabla1[[#This Row],[VENTAS FE.CREDITO]]-Tabla1[[#This Row],[VENTAS NETAS]]-Tabla1[[#This Row],[BASE ANTERIOR]]</f>
        <v>100</v>
      </c>
    </row>
    <row r="913" spans="1:13" ht="13.5" customHeight="1" x14ac:dyDescent="0.2">
      <c r="A913" s="1">
        <v>5763</v>
      </c>
      <c r="B913" s="2">
        <v>45408</v>
      </c>
      <c r="C913" s="3" t="s">
        <v>63</v>
      </c>
      <c r="D913" s="1" t="s">
        <v>18</v>
      </c>
      <c r="E913" s="1" t="s">
        <v>23</v>
      </c>
      <c r="F913" s="4">
        <v>2550950</v>
      </c>
      <c r="G913" s="4">
        <v>2468800</v>
      </c>
      <c r="H913" s="4">
        <v>128000</v>
      </c>
      <c r="I913" s="4">
        <v>0</v>
      </c>
      <c r="J913" s="4">
        <v>23400</v>
      </c>
      <c r="K913" s="4">
        <v>905200</v>
      </c>
      <c r="L913" s="4">
        <v>974200</v>
      </c>
      <c r="M913" s="4">
        <f>Tabla1[[#This Row],[BASE DEL DIA]]+Tabla1[[#This Row],[ENTREGAS]]+Tabla1[[#This Row],[TARJETAS]]+Tabla1[[#This Row],[NEQUI O QR]]+Tabla1[[#This Row],[VENTAS FE.CREDITO]]-Tabla1[[#This Row],[VENTAS NETAS]]-Tabla1[[#This Row],[BASE ANTERIOR]]</f>
        <v>250</v>
      </c>
    </row>
    <row r="914" spans="1:13" ht="13.5" customHeight="1" x14ac:dyDescent="0.2">
      <c r="A914" s="1">
        <v>5762</v>
      </c>
      <c r="B914" s="2">
        <v>45408</v>
      </c>
      <c r="C914" s="3" t="s">
        <v>93</v>
      </c>
      <c r="D914" s="1" t="s">
        <v>17</v>
      </c>
      <c r="E914" s="1" t="s">
        <v>22</v>
      </c>
      <c r="F914" s="4">
        <v>1872900</v>
      </c>
      <c r="G914" s="4">
        <v>1677200</v>
      </c>
      <c r="H914" s="4">
        <v>87800</v>
      </c>
      <c r="I914" s="4">
        <v>5000</v>
      </c>
      <c r="J914" s="4">
        <v>2800</v>
      </c>
      <c r="K914" s="4">
        <v>974200</v>
      </c>
      <c r="L914" s="4">
        <v>876400</v>
      </c>
      <c r="M914" s="4">
        <f>Tabla1[[#This Row],[BASE DEL DIA]]+Tabla1[[#This Row],[ENTREGAS]]+Tabla1[[#This Row],[TARJETAS]]+Tabla1[[#This Row],[NEQUI O QR]]+Tabla1[[#This Row],[VENTAS FE.CREDITO]]-Tabla1[[#This Row],[VENTAS NETAS]]-Tabla1[[#This Row],[BASE ANTERIOR]]</f>
        <v>-2300</v>
      </c>
    </row>
    <row r="915" spans="1:13" ht="13.5" customHeight="1" x14ac:dyDescent="0.2">
      <c r="A915" s="1">
        <v>5761</v>
      </c>
      <c r="B915" s="2">
        <v>45407</v>
      </c>
      <c r="C915" s="3" t="s">
        <v>42</v>
      </c>
      <c r="D915" s="1" t="s">
        <v>17</v>
      </c>
      <c r="E915" s="1" t="s">
        <v>23</v>
      </c>
      <c r="F915" s="4">
        <v>3682700</v>
      </c>
      <c r="G915" s="4">
        <v>3352400</v>
      </c>
      <c r="H915" s="4">
        <v>363400</v>
      </c>
      <c r="I915" s="4">
        <v>0</v>
      </c>
      <c r="J915" s="4">
        <v>29500</v>
      </c>
      <c r="K915" s="4">
        <v>876400</v>
      </c>
      <c r="L915" s="4">
        <v>938150</v>
      </c>
      <c r="M915" s="4">
        <f>Tabla1[[#This Row],[BASE DEL DIA]]+Tabla1[[#This Row],[ENTREGAS]]+Tabla1[[#This Row],[TARJETAS]]+Tabla1[[#This Row],[NEQUI O QR]]+Tabla1[[#This Row],[VENTAS FE.CREDITO]]-Tabla1[[#This Row],[VENTAS NETAS]]-Tabla1[[#This Row],[BASE ANTERIOR]]</f>
        <v>850</v>
      </c>
    </row>
    <row r="916" spans="1:13" ht="13.5" customHeight="1" x14ac:dyDescent="0.2">
      <c r="A916" s="1">
        <v>5760</v>
      </c>
      <c r="B916" s="2">
        <v>45407</v>
      </c>
      <c r="C916" s="3" t="s">
        <v>92</v>
      </c>
      <c r="D916" s="1" t="s">
        <v>18</v>
      </c>
      <c r="E916" s="1" t="s">
        <v>23</v>
      </c>
      <c r="F916" s="4">
        <v>1901000</v>
      </c>
      <c r="G916" s="4">
        <v>1704350</v>
      </c>
      <c r="H916" s="4">
        <v>191900</v>
      </c>
      <c r="I916" s="4">
        <v>0</v>
      </c>
      <c r="J916" s="4">
        <v>0</v>
      </c>
      <c r="K916" s="4">
        <v>938150</v>
      </c>
      <c r="L916" s="4">
        <v>932000</v>
      </c>
      <c r="M916" s="4">
        <f>Tabla1[[#This Row],[BASE DEL DIA]]+Tabla1[[#This Row],[ENTREGAS]]+Tabla1[[#This Row],[TARJETAS]]+Tabla1[[#This Row],[NEQUI O QR]]+Tabla1[[#This Row],[VENTAS FE.CREDITO]]-Tabla1[[#This Row],[VENTAS NETAS]]-Tabla1[[#This Row],[BASE ANTERIOR]]</f>
        <v>1400</v>
      </c>
    </row>
    <row r="917" spans="1:13" ht="13.5" customHeight="1" x14ac:dyDescent="0.2">
      <c r="A917" s="1">
        <v>5759</v>
      </c>
      <c r="B917" s="2">
        <v>45406</v>
      </c>
      <c r="C917" s="3" t="s">
        <v>40</v>
      </c>
      <c r="D917" s="1" t="s">
        <v>18</v>
      </c>
      <c r="E917" s="1" t="s">
        <v>23</v>
      </c>
      <c r="F917" s="4">
        <v>3054700</v>
      </c>
      <c r="G917" s="4">
        <v>2830000</v>
      </c>
      <c r="H917" s="4">
        <v>211800</v>
      </c>
      <c r="I917" s="4">
        <v>0</v>
      </c>
      <c r="J917" s="4">
        <v>16000</v>
      </c>
      <c r="K917" s="4">
        <v>932000</v>
      </c>
      <c r="L917" s="4">
        <v>935800</v>
      </c>
      <c r="M917" s="4">
        <f>Tabla1[[#This Row],[BASE DEL DIA]]+Tabla1[[#This Row],[ENTREGAS]]+Tabla1[[#This Row],[TARJETAS]]+Tabla1[[#This Row],[NEQUI O QR]]+Tabla1[[#This Row],[VENTAS FE.CREDITO]]-Tabla1[[#This Row],[VENTAS NETAS]]-Tabla1[[#This Row],[BASE ANTERIOR]]</f>
        <v>-700</v>
      </c>
    </row>
    <row r="918" spans="1:13" ht="13.5" customHeight="1" x14ac:dyDescent="0.2">
      <c r="A918" s="1">
        <v>5758</v>
      </c>
      <c r="B918" s="2">
        <v>45406</v>
      </c>
      <c r="C918" s="3" t="s">
        <v>91</v>
      </c>
      <c r="D918" s="1" t="s">
        <v>21</v>
      </c>
      <c r="E918" s="1" t="s">
        <v>22</v>
      </c>
      <c r="F918" s="4">
        <v>2610364</v>
      </c>
      <c r="G918" s="4">
        <v>2402700</v>
      </c>
      <c r="H918" s="4">
        <v>179000</v>
      </c>
      <c r="J918" s="4">
        <v>13100</v>
      </c>
      <c r="K918" s="4">
        <v>935800</v>
      </c>
      <c r="L918" s="4">
        <v>919800</v>
      </c>
      <c r="M918" s="4">
        <f>Tabla1[[#This Row],[BASE DEL DIA]]+Tabla1[[#This Row],[ENTREGAS]]+Tabla1[[#This Row],[TARJETAS]]+Tabla1[[#This Row],[NEQUI O QR]]+Tabla1[[#This Row],[VENTAS FE.CREDITO]]-Tabla1[[#This Row],[VENTAS NETAS]]-Tabla1[[#This Row],[BASE ANTERIOR]]</f>
        <v>436</v>
      </c>
    </row>
    <row r="919" spans="1:13" ht="13.5" customHeight="1" x14ac:dyDescent="0.2">
      <c r="A919" s="1">
        <v>5757</v>
      </c>
      <c r="B919" s="2">
        <v>45405</v>
      </c>
      <c r="C919" s="3" t="s">
        <v>45</v>
      </c>
      <c r="D919" s="1" t="s">
        <v>17</v>
      </c>
      <c r="E919" s="1" t="s">
        <v>23</v>
      </c>
      <c r="F919" s="4">
        <v>3547300</v>
      </c>
      <c r="G919" s="4">
        <v>3255400</v>
      </c>
      <c r="H919" s="4">
        <v>201500</v>
      </c>
      <c r="I919" s="4">
        <v>27300</v>
      </c>
      <c r="J919" s="4">
        <v>37200</v>
      </c>
      <c r="K919" s="4">
        <v>919800</v>
      </c>
      <c r="L919" s="4">
        <v>890350</v>
      </c>
      <c r="M919" s="4">
        <f>Tabla1[[#This Row],[BASE DEL DIA]]+Tabla1[[#This Row],[ENTREGAS]]+Tabla1[[#This Row],[TARJETAS]]+Tabla1[[#This Row],[NEQUI O QR]]+Tabla1[[#This Row],[VENTAS FE.CREDITO]]-Tabla1[[#This Row],[VENTAS NETAS]]-Tabla1[[#This Row],[BASE ANTERIOR]]</f>
        <v>3550</v>
      </c>
    </row>
    <row r="920" spans="1:13" ht="13.5" customHeight="1" x14ac:dyDescent="0.2">
      <c r="A920" s="1">
        <v>5756</v>
      </c>
      <c r="B920" s="2">
        <v>45405</v>
      </c>
      <c r="C920" s="3" t="s">
        <v>55</v>
      </c>
      <c r="D920" s="1" t="s">
        <v>18</v>
      </c>
      <c r="E920" s="1" t="s">
        <v>22</v>
      </c>
      <c r="F920" s="4">
        <v>2770100</v>
      </c>
      <c r="G920" s="4">
        <v>2771950</v>
      </c>
      <c r="H920" s="4">
        <v>8300</v>
      </c>
      <c r="I920" s="4">
        <v>0</v>
      </c>
      <c r="J920" s="4">
        <v>0</v>
      </c>
      <c r="K920" s="4">
        <v>890350</v>
      </c>
      <c r="L920" s="4">
        <v>899900</v>
      </c>
      <c r="M920" s="4">
        <f>Tabla1[[#This Row],[BASE DEL DIA]]+Tabla1[[#This Row],[ENTREGAS]]+Tabla1[[#This Row],[TARJETAS]]+Tabla1[[#This Row],[NEQUI O QR]]+Tabla1[[#This Row],[VENTAS FE.CREDITO]]-Tabla1[[#This Row],[VENTAS NETAS]]-Tabla1[[#This Row],[BASE ANTERIOR]]</f>
        <v>600</v>
      </c>
    </row>
    <row r="921" spans="1:13" ht="13.5" customHeight="1" x14ac:dyDescent="0.2">
      <c r="A921" s="1">
        <v>5755</v>
      </c>
      <c r="B921" s="2">
        <v>45404</v>
      </c>
      <c r="C921" s="3" t="s">
        <v>73</v>
      </c>
      <c r="D921" s="1" t="s">
        <v>18</v>
      </c>
      <c r="E921" s="1" t="s">
        <v>23</v>
      </c>
      <c r="F921" s="4">
        <v>4320450</v>
      </c>
      <c r="G921" s="4">
        <v>3832800</v>
      </c>
      <c r="H921" s="4">
        <v>572300</v>
      </c>
      <c r="I921" s="4">
        <v>18800</v>
      </c>
      <c r="J921" s="4">
        <v>0</v>
      </c>
      <c r="K921" s="4">
        <v>899900</v>
      </c>
      <c r="L921" s="4">
        <v>1003300</v>
      </c>
      <c r="M921" s="4">
        <f>Tabla1[[#This Row],[BASE DEL DIA]]+Tabla1[[#This Row],[ENTREGAS]]+Tabla1[[#This Row],[TARJETAS]]+Tabla1[[#This Row],[NEQUI O QR]]+Tabla1[[#This Row],[VENTAS FE.CREDITO]]-Tabla1[[#This Row],[VENTAS NETAS]]-Tabla1[[#This Row],[BASE ANTERIOR]]</f>
        <v>50</v>
      </c>
    </row>
    <row r="922" spans="1:13" ht="13.5" customHeight="1" x14ac:dyDescent="0.2">
      <c r="A922" s="1">
        <v>5754</v>
      </c>
      <c r="B922" s="2">
        <v>45404</v>
      </c>
      <c r="C922" s="3" t="s">
        <v>90</v>
      </c>
      <c r="D922" s="1" t="s">
        <v>17</v>
      </c>
      <c r="E922" s="1" t="s">
        <v>22</v>
      </c>
      <c r="F922" s="4">
        <v>1832900</v>
      </c>
      <c r="G922" s="4">
        <v>1745839</v>
      </c>
      <c r="H922" s="4">
        <v>27400</v>
      </c>
      <c r="I922" s="4">
        <v>0</v>
      </c>
      <c r="J922" s="4">
        <v>0</v>
      </c>
      <c r="K922" s="4">
        <v>1003300</v>
      </c>
      <c r="L922" s="4">
        <v>943400</v>
      </c>
      <c r="M922" s="4">
        <f>Tabla1[[#This Row],[BASE DEL DIA]]+Tabla1[[#This Row],[ENTREGAS]]+Tabla1[[#This Row],[TARJETAS]]+Tabla1[[#This Row],[NEQUI O QR]]+Tabla1[[#This Row],[VENTAS FE.CREDITO]]-Tabla1[[#This Row],[VENTAS NETAS]]-Tabla1[[#This Row],[BASE ANTERIOR]]</f>
        <v>239</v>
      </c>
    </row>
    <row r="923" spans="1:13" ht="13.5" customHeight="1" x14ac:dyDescent="0.2">
      <c r="A923" s="1">
        <v>5753</v>
      </c>
      <c r="B923" s="2">
        <v>45403</v>
      </c>
      <c r="C923" s="3" t="s">
        <v>83</v>
      </c>
      <c r="D923" s="1" t="s">
        <v>16</v>
      </c>
      <c r="E923" s="1" t="s">
        <v>23</v>
      </c>
      <c r="F923" s="4">
        <v>4026050</v>
      </c>
      <c r="G923" s="4">
        <v>3860000</v>
      </c>
      <c r="H923" s="4">
        <v>162800</v>
      </c>
      <c r="I923" s="4">
        <v>0</v>
      </c>
      <c r="J923" s="4">
        <v>4900</v>
      </c>
      <c r="K923" s="4">
        <v>943400</v>
      </c>
      <c r="L923" s="4">
        <v>944750</v>
      </c>
      <c r="M923" s="4">
        <f>Tabla1[[#This Row],[BASE DEL DIA]]+Tabla1[[#This Row],[ENTREGAS]]+Tabla1[[#This Row],[TARJETAS]]+Tabla1[[#This Row],[NEQUI O QR]]+Tabla1[[#This Row],[VENTAS FE.CREDITO]]-Tabla1[[#This Row],[VENTAS NETAS]]-Tabla1[[#This Row],[BASE ANTERIOR]]</f>
        <v>300</v>
      </c>
    </row>
    <row r="924" spans="1:13" ht="13.5" customHeight="1" x14ac:dyDescent="0.2">
      <c r="A924" s="1">
        <v>5752</v>
      </c>
      <c r="B924" s="2">
        <v>45403</v>
      </c>
      <c r="C924" s="3" t="s">
        <v>87</v>
      </c>
      <c r="D924" s="1" t="s">
        <v>18</v>
      </c>
      <c r="E924" s="1" t="s">
        <v>22</v>
      </c>
      <c r="F924" s="4">
        <v>4669400</v>
      </c>
      <c r="G924" s="4">
        <v>4451700</v>
      </c>
      <c r="H924" s="4">
        <v>92900</v>
      </c>
      <c r="I924" s="4">
        <v>0</v>
      </c>
      <c r="J924" s="4">
        <v>100000</v>
      </c>
      <c r="K924" s="4">
        <v>944750</v>
      </c>
      <c r="L924" s="4">
        <v>920800</v>
      </c>
      <c r="M924" s="4">
        <f>Tabla1[[#This Row],[BASE DEL DIA]]+Tabla1[[#This Row],[ENTREGAS]]+Tabla1[[#This Row],[TARJETAS]]+Tabla1[[#This Row],[NEQUI O QR]]+Tabla1[[#This Row],[VENTAS FE.CREDITO]]-Tabla1[[#This Row],[VENTAS NETAS]]-Tabla1[[#This Row],[BASE ANTERIOR]]</f>
        <v>-850</v>
      </c>
    </row>
    <row r="925" spans="1:13" ht="13.5" customHeight="1" x14ac:dyDescent="0.2">
      <c r="A925" s="1">
        <v>5751</v>
      </c>
      <c r="B925" s="2">
        <v>45403</v>
      </c>
      <c r="C925" s="3" t="s">
        <v>89</v>
      </c>
      <c r="D925" s="1" t="s">
        <v>18</v>
      </c>
      <c r="E925" s="1" t="s">
        <v>22</v>
      </c>
      <c r="F925" s="4">
        <v>5594850</v>
      </c>
      <c r="G925" s="4">
        <v>4998500</v>
      </c>
      <c r="H925" s="4">
        <v>552400</v>
      </c>
      <c r="I925" s="4">
        <v>0</v>
      </c>
      <c r="J925" s="4">
        <v>26400</v>
      </c>
      <c r="K925" s="4">
        <v>920800</v>
      </c>
      <c r="L925" s="4">
        <v>901600</v>
      </c>
      <c r="M925" s="4">
        <f>Tabla1[[#This Row],[BASE DEL DIA]]+Tabla1[[#This Row],[ENTREGAS]]+Tabla1[[#This Row],[TARJETAS]]+Tabla1[[#This Row],[NEQUI O QR]]+Tabla1[[#This Row],[VENTAS FE.CREDITO]]-Tabla1[[#This Row],[VENTAS NETAS]]-Tabla1[[#This Row],[BASE ANTERIOR]]</f>
        <v>1650</v>
      </c>
    </row>
    <row r="926" spans="1:13" ht="13.5" customHeight="1" x14ac:dyDescent="0.2">
      <c r="A926" s="1">
        <v>5750</v>
      </c>
      <c r="B926" s="2">
        <v>45402</v>
      </c>
      <c r="C926" s="3" t="s">
        <v>88</v>
      </c>
      <c r="D926" s="1" t="s">
        <v>17</v>
      </c>
      <c r="E926" s="1" t="s">
        <v>23</v>
      </c>
      <c r="F926" s="4">
        <v>2698100</v>
      </c>
      <c r="G926" s="4">
        <v>2417680</v>
      </c>
      <c r="H926" s="4">
        <v>242400</v>
      </c>
      <c r="I926" s="4">
        <v>0</v>
      </c>
      <c r="J926" s="4">
        <v>0</v>
      </c>
      <c r="K926" s="4">
        <v>901600</v>
      </c>
      <c r="L926" s="4">
        <v>863500</v>
      </c>
      <c r="M926" s="4">
        <f>Tabla1[[#This Row],[BASE DEL DIA]]+Tabla1[[#This Row],[ENTREGAS]]+Tabla1[[#This Row],[TARJETAS]]+Tabla1[[#This Row],[NEQUI O QR]]+Tabla1[[#This Row],[VENTAS FE.CREDITO]]-Tabla1[[#This Row],[VENTAS NETAS]]-Tabla1[[#This Row],[BASE ANTERIOR]]</f>
        <v>80</v>
      </c>
    </row>
    <row r="927" spans="1:13" ht="13.5" customHeight="1" x14ac:dyDescent="0.2">
      <c r="A927" s="1">
        <v>5749</v>
      </c>
      <c r="B927" s="2">
        <v>45401</v>
      </c>
      <c r="C927" s="3" t="s">
        <v>52</v>
      </c>
      <c r="D927" s="1" t="s">
        <v>17</v>
      </c>
      <c r="E927" s="1" t="s">
        <v>23</v>
      </c>
      <c r="F927" s="4">
        <v>3116600</v>
      </c>
      <c r="G927" s="4">
        <v>2740000</v>
      </c>
      <c r="H927" s="4">
        <v>365400</v>
      </c>
      <c r="I927" s="4">
        <v>0</v>
      </c>
      <c r="J927" s="4">
        <v>21400</v>
      </c>
      <c r="K927" s="4">
        <v>863500</v>
      </c>
      <c r="L927" s="4">
        <v>873700</v>
      </c>
      <c r="M927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928" spans="1:13" ht="13.5" customHeight="1" x14ac:dyDescent="0.2">
      <c r="A928" s="1">
        <v>5748</v>
      </c>
      <c r="B928" s="2">
        <v>45401</v>
      </c>
      <c r="C928" s="3" t="s">
        <v>87</v>
      </c>
      <c r="D928" s="1" t="s">
        <v>18</v>
      </c>
      <c r="E928" s="1" t="s">
        <v>22</v>
      </c>
      <c r="F928" s="4">
        <v>2257650</v>
      </c>
      <c r="G928" s="4">
        <v>2201250</v>
      </c>
      <c r="H928" s="4">
        <v>230700</v>
      </c>
      <c r="I928" s="4">
        <v>0</v>
      </c>
      <c r="J928" s="4">
        <v>0</v>
      </c>
      <c r="K928" s="4">
        <v>873700</v>
      </c>
      <c r="L928" s="4">
        <v>1047650</v>
      </c>
      <c r="M928" s="4">
        <f>Tabla1[[#This Row],[BASE DEL DIA]]+Tabla1[[#This Row],[ENTREGAS]]+Tabla1[[#This Row],[TARJETAS]]+Tabla1[[#This Row],[NEQUI O QR]]+Tabla1[[#This Row],[VENTAS FE.CREDITO]]-Tabla1[[#This Row],[VENTAS NETAS]]-Tabla1[[#This Row],[BASE ANTERIOR]]</f>
        <v>350</v>
      </c>
    </row>
    <row r="929" spans="1:13" ht="13.5" customHeight="1" x14ac:dyDescent="0.2">
      <c r="A929" s="1">
        <v>5747</v>
      </c>
      <c r="B929" s="2">
        <v>45400</v>
      </c>
      <c r="C929" s="3" t="s">
        <v>66</v>
      </c>
      <c r="D929" s="1" t="s">
        <v>18</v>
      </c>
      <c r="E929" s="1" t="s">
        <v>23</v>
      </c>
      <c r="F929" s="4">
        <v>4189450</v>
      </c>
      <c r="G929" s="4">
        <v>3810000</v>
      </c>
      <c r="H929" s="4">
        <v>345200</v>
      </c>
      <c r="I929" s="4">
        <v>0</v>
      </c>
      <c r="J929" s="4">
        <v>4900</v>
      </c>
      <c r="K929" s="4">
        <v>1047650</v>
      </c>
      <c r="L929" s="4">
        <v>1017500</v>
      </c>
      <c r="M929" s="4">
        <f>Tabla1[[#This Row],[BASE DEL DIA]]+Tabla1[[#This Row],[ENTREGAS]]+Tabla1[[#This Row],[TARJETAS]]+Tabla1[[#This Row],[NEQUI O QR]]+Tabla1[[#This Row],[VENTAS FE.CREDITO]]-Tabla1[[#This Row],[VENTAS NETAS]]-Tabla1[[#This Row],[BASE ANTERIOR]]</f>
        <v>800</v>
      </c>
    </row>
    <row r="930" spans="1:13" ht="13.5" customHeight="1" x14ac:dyDescent="0.2">
      <c r="A930" s="1">
        <v>5746</v>
      </c>
      <c r="B930" s="2">
        <v>45400</v>
      </c>
      <c r="C930" s="3" t="s">
        <v>68</v>
      </c>
      <c r="D930" s="1" t="s">
        <v>19</v>
      </c>
      <c r="E930" s="1" t="s">
        <v>22</v>
      </c>
      <c r="F930" s="4">
        <v>2599000</v>
      </c>
      <c r="G930" s="4">
        <v>1764650</v>
      </c>
      <c r="H930" s="4">
        <v>48300</v>
      </c>
      <c r="I930" s="4">
        <v>0</v>
      </c>
      <c r="J930" s="4">
        <v>490800</v>
      </c>
      <c r="K930" s="4">
        <v>1017500</v>
      </c>
      <c r="L930" s="4">
        <v>924350</v>
      </c>
      <c r="M930" s="4">
        <f>Tabla1[[#This Row],[BASE DEL DIA]]+Tabla1[[#This Row],[ENTREGAS]]+Tabla1[[#This Row],[TARJETAS]]+Tabla1[[#This Row],[NEQUI O QR]]+Tabla1[[#This Row],[VENTAS FE.CREDITO]]-Tabla1[[#This Row],[VENTAS NETAS]]-Tabla1[[#This Row],[BASE ANTERIOR]]</f>
        <v>-202100</v>
      </c>
    </row>
    <row r="931" spans="1:13" ht="13.5" customHeight="1" x14ac:dyDescent="0.2">
      <c r="A931" s="1">
        <v>5745</v>
      </c>
      <c r="B931" s="2">
        <v>45399</v>
      </c>
      <c r="C931" s="3" t="s">
        <v>56</v>
      </c>
      <c r="D931" s="1" t="s">
        <v>17</v>
      </c>
      <c r="E931" s="1" t="s">
        <v>23</v>
      </c>
      <c r="F931" s="4">
        <v>4714700</v>
      </c>
      <c r="G931" s="4">
        <v>3853500</v>
      </c>
      <c r="H931" s="4">
        <v>787100</v>
      </c>
      <c r="I931" s="4">
        <v>32700</v>
      </c>
      <c r="J931" s="4">
        <v>2500</v>
      </c>
      <c r="K931" s="4">
        <v>924350</v>
      </c>
      <c r="L931" s="4">
        <v>884850</v>
      </c>
      <c r="M931" s="4">
        <f>Tabla1[[#This Row],[BASE DEL DIA]]+Tabla1[[#This Row],[ENTREGAS]]+Tabla1[[#This Row],[TARJETAS]]+Tabla1[[#This Row],[NEQUI O QR]]+Tabla1[[#This Row],[VENTAS FE.CREDITO]]-Tabla1[[#This Row],[VENTAS NETAS]]-Tabla1[[#This Row],[BASE ANTERIOR]]</f>
        <v>600</v>
      </c>
    </row>
    <row r="932" spans="1:13" ht="13.5" customHeight="1" x14ac:dyDescent="0.2">
      <c r="A932" s="1">
        <v>5744</v>
      </c>
      <c r="B932" s="2">
        <v>45399</v>
      </c>
      <c r="C932" s="3" t="s">
        <v>86</v>
      </c>
      <c r="D932" s="1" t="s">
        <v>21</v>
      </c>
      <c r="E932" s="1" t="s">
        <v>22</v>
      </c>
      <c r="F932" s="4">
        <v>2983800</v>
      </c>
      <c r="G932" s="4">
        <v>2907750</v>
      </c>
      <c r="H932" s="4">
        <v>94800</v>
      </c>
      <c r="I932" s="4">
        <v>0</v>
      </c>
      <c r="J932" s="4">
        <v>28300</v>
      </c>
      <c r="K932" s="4">
        <v>884650</v>
      </c>
      <c r="L932" s="4">
        <v>925200</v>
      </c>
      <c r="M932" s="4">
        <f>Tabla1[[#This Row],[BASE DEL DIA]]+Tabla1[[#This Row],[ENTREGAS]]+Tabla1[[#This Row],[TARJETAS]]+Tabla1[[#This Row],[NEQUI O QR]]+Tabla1[[#This Row],[VENTAS FE.CREDITO]]-Tabla1[[#This Row],[VENTAS NETAS]]-Tabla1[[#This Row],[BASE ANTERIOR]]</f>
        <v>6500</v>
      </c>
    </row>
    <row r="933" spans="1:13" ht="13.5" customHeight="1" x14ac:dyDescent="0.2">
      <c r="A933" s="1">
        <v>5743</v>
      </c>
      <c r="B933" s="2">
        <v>45398</v>
      </c>
      <c r="C933" s="3" t="s">
        <v>48</v>
      </c>
      <c r="D933" s="1" t="s">
        <v>18</v>
      </c>
      <c r="E933" s="1" t="s">
        <v>23</v>
      </c>
      <c r="F933" s="4">
        <v>6036250</v>
      </c>
      <c r="G933" s="4">
        <v>5567500</v>
      </c>
      <c r="H933" s="4">
        <v>417400</v>
      </c>
      <c r="I933" s="4">
        <v>0</v>
      </c>
      <c r="J933" s="4">
        <v>107500</v>
      </c>
      <c r="K933" s="4">
        <v>925200</v>
      </c>
      <c r="L933" s="4">
        <v>980500</v>
      </c>
      <c r="M933" s="4">
        <f>Tabla1[[#This Row],[BASE DEL DIA]]+Tabla1[[#This Row],[ENTREGAS]]+Tabla1[[#This Row],[TARJETAS]]+Tabla1[[#This Row],[NEQUI O QR]]+Tabla1[[#This Row],[VENTAS FE.CREDITO]]-Tabla1[[#This Row],[VENTAS NETAS]]-Tabla1[[#This Row],[BASE ANTERIOR]]</f>
        <v>850</v>
      </c>
    </row>
    <row r="934" spans="1:13" ht="13.5" customHeight="1" x14ac:dyDescent="0.2">
      <c r="A934" s="1">
        <v>5742</v>
      </c>
      <c r="B934" s="2">
        <v>45398</v>
      </c>
      <c r="C934" s="3" t="s">
        <v>46</v>
      </c>
      <c r="D934" s="1" t="s">
        <v>17</v>
      </c>
      <c r="E934" s="1" t="s">
        <v>22</v>
      </c>
      <c r="F934" s="4">
        <v>3047100</v>
      </c>
      <c r="G934" s="4">
        <v>2848950</v>
      </c>
      <c r="H934" s="4">
        <v>85500</v>
      </c>
      <c r="I934" s="4">
        <v>6500</v>
      </c>
      <c r="J934" s="4">
        <v>0</v>
      </c>
      <c r="K934" s="4">
        <v>980500</v>
      </c>
      <c r="L934" s="4">
        <v>874350</v>
      </c>
      <c r="M934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935" spans="1:13" ht="13.5" customHeight="1" x14ac:dyDescent="0.2">
      <c r="A935" s="1">
        <v>5741</v>
      </c>
      <c r="B935" s="2">
        <v>45397</v>
      </c>
      <c r="C935" s="3">
        <v>0.52986111111111112</v>
      </c>
      <c r="D935" s="1" t="s">
        <v>18</v>
      </c>
      <c r="E935" s="1" t="s">
        <v>22</v>
      </c>
      <c r="F935" s="4">
        <v>2233000</v>
      </c>
      <c r="G935" s="4">
        <v>2250000</v>
      </c>
      <c r="H935" s="4">
        <v>24400</v>
      </c>
      <c r="I935" s="4">
        <v>0</v>
      </c>
      <c r="J935" s="4">
        <v>0</v>
      </c>
      <c r="K935" s="4">
        <v>937150</v>
      </c>
      <c r="L935" s="4">
        <v>977600</v>
      </c>
      <c r="M935" s="4">
        <v>950</v>
      </c>
    </row>
    <row r="936" spans="1:13" ht="13.5" customHeight="1" x14ac:dyDescent="0.2">
      <c r="A936" s="1">
        <v>5740</v>
      </c>
      <c r="B936" s="2">
        <v>45397</v>
      </c>
      <c r="C936" s="3" t="s">
        <v>48</v>
      </c>
      <c r="D936" s="1" t="s">
        <v>17</v>
      </c>
      <c r="E936" s="1" t="s">
        <v>23</v>
      </c>
      <c r="F936" s="4">
        <v>5662750</v>
      </c>
      <c r="G936" s="4">
        <v>4781200</v>
      </c>
      <c r="H936" s="4">
        <v>900600</v>
      </c>
      <c r="I936" s="4">
        <v>16200</v>
      </c>
      <c r="J936" s="4">
        <v>28200</v>
      </c>
      <c r="K936" s="4">
        <v>874350</v>
      </c>
      <c r="L936" s="4">
        <v>937800</v>
      </c>
      <c r="M936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937" spans="1:13" ht="13.5" customHeight="1" x14ac:dyDescent="0.2">
      <c r="A937" s="1">
        <v>5739</v>
      </c>
      <c r="B937" s="2">
        <v>45396</v>
      </c>
      <c r="C937" s="3" t="s">
        <v>85</v>
      </c>
      <c r="D937" s="1" t="s">
        <v>18</v>
      </c>
      <c r="E937" s="1" t="s">
        <v>23</v>
      </c>
      <c r="F937" s="4">
        <v>4216650</v>
      </c>
      <c r="G937" s="4">
        <v>3880000</v>
      </c>
      <c r="H937" s="4">
        <v>261700</v>
      </c>
      <c r="I937" s="4">
        <v>40000</v>
      </c>
      <c r="J937" s="4">
        <v>0</v>
      </c>
      <c r="K937" s="4">
        <v>977600</v>
      </c>
      <c r="L937" s="4">
        <v>940800</v>
      </c>
      <c r="M937" s="4">
        <f>Tabla1[[#This Row],[BASE DEL DIA]]+Tabla1[[#This Row],[ENTREGAS]]+Tabla1[[#This Row],[TARJETAS]]+Tabla1[[#This Row],[NEQUI O QR]]+Tabla1[[#This Row],[VENTAS FE.CREDITO]]-Tabla1[[#This Row],[VENTAS NETAS]]-Tabla1[[#This Row],[BASE ANTERIOR]]</f>
        <v>1850</v>
      </c>
    </row>
    <row r="938" spans="1:13" ht="13.5" customHeight="1" x14ac:dyDescent="0.2">
      <c r="A938" s="1">
        <v>5738</v>
      </c>
      <c r="B938" s="2">
        <v>45396</v>
      </c>
      <c r="C938" s="3" t="s">
        <v>62</v>
      </c>
      <c r="D938" s="1" t="s">
        <v>19</v>
      </c>
      <c r="E938" s="1" t="s">
        <v>22</v>
      </c>
      <c r="F938" s="4">
        <v>3946900</v>
      </c>
      <c r="G938" s="4">
        <v>3623400</v>
      </c>
      <c r="H938" s="4">
        <v>235100</v>
      </c>
      <c r="I938" s="4">
        <v>16000</v>
      </c>
      <c r="J938" s="4">
        <v>22450</v>
      </c>
      <c r="K938" s="4">
        <v>940800</v>
      </c>
      <c r="L938" s="4">
        <v>890850</v>
      </c>
      <c r="M938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939" spans="1:13" ht="13.5" customHeight="1" x14ac:dyDescent="0.2">
      <c r="A939" s="1">
        <v>5737</v>
      </c>
      <c r="B939" s="2">
        <v>45395</v>
      </c>
      <c r="C939" s="3" t="s">
        <v>52</v>
      </c>
      <c r="D939" s="1" t="s">
        <v>17</v>
      </c>
      <c r="E939" s="1" t="s">
        <v>23</v>
      </c>
      <c r="F939" s="4">
        <v>3681200</v>
      </c>
      <c r="G939" s="4">
        <v>3412000</v>
      </c>
      <c r="H939" s="4">
        <v>220100</v>
      </c>
      <c r="I939" s="4">
        <v>0</v>
      </c>
      <c r="J939" s="4">
        <v>0</v>
      </c>
      <c r="K939" s="4">
        <v>890850</v>
      </c>
      <c r="L939" s="4">
        <v>843100</v>
      </c>
      <c r="M939" s="4">
        <f>Tabla1[[#This Row],[BASE DEL DIA]]+Tabla1[[#This Row],[ENTREGAS]]+Tabla1[[#This Row],[TARJETAS]]+Tabla1[[#This Row],[NEQUI O QR]]+Tabla1[[#This Row],[VENTAS FE.CREDITO]]-Tabla1[[#This Row],[VENTAS NETAS]]-Tabla1[[#This Row],[BASE ANTERIOR]]</f>
        <v>-1350</v>
      </c>
    </row>
    <row r="940" spans="1:13" ht="13.5" customHeight="1" x14ac:dyDescent="0.2">
      <c r="A940" s="1">
        <v>5736</v>
      </c>
      <c r="B940" s="2">
        <v>45395</v>
      </c>
      <c r="C940" s="3" t="s">
        <v>84</v>
      </c>
      <c r="D940" s="1" t="s">
        <v>18</v>
      </c>
      <c r="E940" s="1" t="s">
        <v>22</v>
      </c>
      <c r="F940" s="4">
        <v>1424780</v>
      </c>
      <c r="G940" s="4">
        <v>1478000</v>
      </c>
      <c r="H940" s="4">
        <v>20400</v>
      </c>
      <c r="J940" s="4">
        <v>20400</v>
      </c>
      <c r="K940" s="4">
        <v>843100</v>
      </c>
      <c r="L940" s="4">
        <v>938000</v>
      </c>
      <c r="M940" s="4">
        <f>Tabla1[[#This Row],[BASE DEL DIA]]+Tabla1[[#This Row],[ENTREGAS]]+Tabla1[[#This Row],[TARJETAS]]+Tabla1[[#This Row],[NEQUI O QR]]+Tabla1[[#This Row],[VENTAS FE.CREDITO]]-Tabla1[[#This Row],[VENTAS NETAS]]-Tabla1[[#This Row],[BASE ANTERIOR]]</f>
        <v>-880</v>
      </c>
    </row>
    <row r="941" spans="1:13" ht="13.5" customHeight="1" x14ac:dyDescent="0.2">
      <c r="A941" s="1">
        <v>5735</v>
      </c>
      <c r="B941" s="2">
        <v>45394</v>
      </c>
      <c r="C941" s="3" t="s">
        <v>83</v>
      </c>
      <c r="D941" s="1" t="s">
        <v>18</v>
      </c>
      <c r="E941" s="1" t="s">
        <v>23</v>
      </c>
      <c r="F941" s="4">
        <v>3064150</v>
      </c>
      <c r="G941" s="4">
        <v>2708000</v>
      </c>
      <c r="H941" s="4">
        <v>299700</v>
      </c>
      <c r="I941" s="4">
        <v>0</v>
      </c>
      <c r="J941" s="4">
        <v>7300</v>
      </c>
      <c r="K941" s="4">
        <v>938000</v>
      </c>
      <c r="L941" s="4">
        <v>888450</v>
      </c>
      <c r="M941" s="4">
        <f>Tabla1[[#This Row],[BASE DEL DIA]]+Tabla1[[#This Row],[ENTREGAS]]+Tabla1[[#This Row],[TARJETAS]]+Tabla1[[#This Row],[NEQUI O QR]]+Tabla1[[#This Row],[VENTAS FE.CREDITO]]-Tabla1[[#This Row],[VENTAS NETAS]]-Tabla1[[#This Row],[BASE ANTERIOR]]</f>
        <v>400</v>
      </c>
    </row>
    <row r="942" spans="1:13" ht="13.5" customHeight="1" x14ac:dyDescent="0.2">
      <c r="A942" s="1">
        <v>5734</v>
      </c>
      <c r="B942" s="2">
        <v>45394</v>
      </c>
      <c r="C942" s="3" t="s">
        <v>81</v>
      </c>
      <c r="D942" s="1" t="s">
        <v>82</v>
      </c>
      <c r="E942" s="1" t="s">
        <v>22</v>
      </c>
      <c r="F942" s="4">
        <v>2116200</v>
      </c>
      <c r="G942" s="4">
        <v>2087350</v>
      </c>
      <c r="H942" s="4">
        <v>24600</v>
      </c>
      <c r="I942" s="4">
        <v>0</v>
      </c>
      <c r="J942" s="4">
        <v>0</v>
      </c>
      <c r="K942" s="4">
        <v>888450</v>
      </c>
      <c r="L942" s="4">
        <v>880150</v>
      </c>
      <c r="M942" s="4">
        <f>Tabla1[[#This Row],[BASE DEL DIA]]+Tabla1[[#This Row],[ENTREGAS]]+Tabla1[[#This Row],[TARJETAS]]+Tabla1[[#This Row],[NEQUI O QR]]+Tabla1[[#This Row],[VENTAS FE.CREDITO]]-Tabla1[[#This Row],[VENTAS NETAS]]-Tabla1[[#This Row],[BASE ANTERIOR]]</f>
        <v>4050</v>
      </c>
    </row>
    <row r="943" spans="1:13" ht="13.5" customHeight="1" x14ac:dyDescent="0.2">
      <c r="A943" s="1">
        <v>5733</v>
      </c>
      <c r="B943" s="2">
        <v>45393</v>
      </c>
      <c r="C943" s="3" t="s">
        <v>43</v>
      </c>
      <c r="D943" s="1" t="s">
        <v>17</v>
      </c>
      <c r="E943" s="1" t="s">
        <v>23</v>
      </c>
      <c r="F943" s="4">
        <v>2943800</v>
      </c>
      <c r="G943" s="4">
        <v>2777100</v>
      </c>
      <c r="H943" s="4">
        <v>265400</v>
      </c>
      <c r="I943" s="4">
        <v>0</v>
      </c>
      <c r="J943" s="4">
        <v>0</v>
      </c>
      <c r="K943" s="4">
        <v>880150</v>
      </c>
      <c r="L943" s="4">
        <v>978850</v>
      </c>
      <c r="M943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944" spans="1:13" ht="13.5" customHeight="1" x14ac:dyDescent="0.2">
      <c r="A944" s="1">
        <v>5732</v>
      </c>
      <c r="B944" s="2">
        <v>45393</v>
      </c>
      <c r="C944" s="3" t="s">
        <v>80</v>
      </c>
      <c r="D944" s="1" t="s">
        <v>18</v>
      </c>
      <c r="E944" s="1" t="s">
        <v>22</v>
      </c>
      <c r="F944" s="4">
        <v>2531200</v>
      </c>
      <c r="G944" s="4">
        <v>2332150</v>
      </c>
      <c r="H944" s="4">
        <v>112900</v>
      </c>
      <c r="I944" s="4">
        <v>0</v>
      </c>
      <c r="J944" s="4">
        <v>44400</v>
      </c>
      <c r="K944" s="4">
        <v>978850</v>
      </c>
      <c r="L944" s="4">
        <v>936600</v>
      </c>
      <c r="M944" s="4">
        <f>Tabla1[[#This Row],[BASE DEL DIA]]+Tabla1[[#This Row],[ENTREGAS]]+Tabla1[[#This Row],[TARJETAS]]+Tabla1[[#This Row],[NEQUI O QR]]+Tabla1[[#This Row],[VENTAS FE.CREDITO]]-Tabla1[[#This Row],[VENTAS NETAS]]-Tabla1[[#This Row],[BASE ANTERIOR]]</f>
        <v>500</v>
      </c>
    </row>
    <row r="945" spans="1:13" ht="13.5" customHeight="1" x14ac:dyDescent="0.2">
      <c r="A945" s="1">
        <v>5731</v>
      </c>
      <c r="B945" s="2">
        <v>45392</v>
      </c>
      <c r="C945" s="3" t="s">
        <v>72</v>
      </c>
      <c r="D945" s="1" t="s">
        <v>18</v>
      </c>
      <c r="E945" s="1" t="s">
        <v>23</v>
      </c>
      <c r="F945" s="4">
        <v>3684100</v>
      </c>
      <c r="G945" s="4">
        <v>3508900</v>
      </c>
      <c r="H945" s="4">
        <v>73800</v>
      </c>
      <c r="I945" s="4">
        <v>0</v>
      </c>
      <c r="J945" s="4">
        <v>21500</v>
      </c>
      <c r="K945" s="4">
        <v>936600</v>
      </c>
      <c r="L945" s="4">
        <v>855950</v>
      </c>
      <c r="M945" s="4">
        <f>Tabla1[[#This Row],[BASE DEL DIA]]+Tabla1[[#This Row],[ENTREGAS]]+Tabla1[[#This Row],[TARJETAS]]+Tabla1[[#This Row],[NEQUI O QR]]+Tabla1[[#This Row],[VENTAS FE.CREDITO]]-Tabla1[[#This Row],[VENTAS NETAS]]-Tabla1[[#This Row],[BASE ANTERIOR]]</f>
        <v>750</v>
      </c>
    </row>
    <row r="946" spans="1:13" ht="13.5" customHeight="1" x14ac:dyDescent="0.2">
      <c r="A946" s="1">
        <v>5730</v>
      </c>
      <c r="B946" s="2">
        <v>45392</v>
      </c>
      <c r="C946" s="3" t="s">
        <v>79</v>
      </c>
      <c r="D946" s="1" t="s">
        <v>17</v>
      </c>
      <c r="E946" s="1" t="s">
        <v>22</v>
      </c>
      <c r="F946" s="4">
        <v>1692950</v>
      </c>
      <c r="G946" s="4">
        <v>1673600</v>
      </c>
      <c r="H946" s="4">
        <v>56100</v>
      </c>
      <c r="I946" s="4">
        <v>0</v>
      </c>
      <c r="J946" s="4">
        <v>0</v>
      </c>
      <c r="K946" s="4">
        <v>855950</v>
      </c>
      <c r="L946" s="4">
        <v>890600</v>
      </c>
      <c r="M946" s="4">
        <f>Tabla1[[#This Row],[BASE DEL DIA]]+Tabla1[[#This Row],[ENTREGAS]]+Tabla1[[#This Row],[TARJETAS]]+Tabla1[[#This Row],[NEQUI O QR]]+Tabla1[[#This Row],[VENTAS FE.CREDITO]]-Tabla1[[#This Row],[VENTAS NETAS]]-Tabla1[[#This Row],[BASE ANTERIOR]]</f>
        <v>2100</v>
      </c>
    </row>
    <row r="947" spans="1:13" ht="13.5" customHeight="1" x14ac:dyDescent="0.2">
      <c r="A947" s="1">
        <v>5729</v>
      </c>
      <c r="B947" s="2">
        <v>45391</v>
      </c>
      <c r="C947" s="3" t="s">
        <v>54</v>
      </c>
      <c r="D947" s="1" t="s">
        <v>17</v>
      </c>
      <c r="E947" s="1" t="s">
        <v>23</v>
      </c>
      <c r="F947" s="4">
        <v>3571650</v>
      </c>
      <c r="G947" s="4">
        <v>3544300</v>
      </c>
      <c r="H947" s="4">
        <v>171600</v>
      </c>
      <c r="I947" s="4">
        <v>0</v>
      </c>
      <c r="J947" s="4">
        <v>0</v>
      </c>
      <c r="K947" s="4">
        <v>890600</v>
      </c>
      <c r="L947" s="4">
        <v>1034850</v>
      </c>
      <c r="M947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948" spans="1:13" ht="13.5" customHeight="1" x14ac:dyDescent="0.2">
      <c r="A948" s="1">
        <v>5728</v>
      </c>
      <c r="B948" s="2">
        <v>45391</v>
      </c>
      <c r="C948" s="3" t="s">
        <v>58</v>
      </c>
      <c r="D948" s="1" t="s">
        <v>18</v>
      </c>
      <c r="E948" s="1" t="s">
        <v>23</v>
      </c>
      <c r="F948" s="4">
        <v>2478799</v>
      </c>
      <c r="G948" s="4">
        <v>2097100</v>
      </c>
      <c r="H948" s="4">
        <v>281700</v>
      </c>
      <c r="I948" s="4">
        <v>0</v>
      </c>
      <c r="J948" s="4">
        <v>0</v>
      </c>
      <c r="K948" s="4">
        <v>1034850</v>
      </c>
      <c r="L948" s="4">
        <v>934750</v>
      </c>
      <c r="M948" s="4">
        <f>Tabla1[[#This Row],[BASE DEL DIA]]+Tabla1[[#This Row],[ENTREGAS]]+Tabla1[[#This Row],[TARJETAS]]+Tabla1[[#This Row],[NEQUI O QR]]+Tabla1[[#This Row],[VENTAS FE.CREDITO]]-Tabla1[[#This Row],[VENTAS NETAS]]-Tabla1[[#This Row],[BASE ANTERIOR]]</f>
        <v>101</v>
      </c>
    </row>
    <row r="949" spans="1:13" ht="13.5" customHeight="1" x14ac:dyDescent="0.2">
      <c r="A949" s="1">
        <v>5727</v>
      </c>
      <c r="B949" s="2">
        <v>45390</v>
      </c>
      <c r="C949" s="3" t="s">
        <v>52</v>
      </c>
      <c r="D949" s="1" t="s">
        <v>18</v>
      </c>
      <c r="E949" s="1" t="s">
        <v>23</v>
      </c>
      <c r="F949" s="4">
        <v>3273900</v>
      </c>
      <c r="G949" s="4">
        <v>3150000</v>
      </c>
      <c r="H949" s="4">
        <v>77900</v>
      </c>
      <c r="I949" s="4">
        <v>0</v>
      </c>
      <c r="J949" s="4">
        <v>22500</v>
      </c>
      <c r="K949" s="4">
        <v>934750</v>
      </c>
      <c r="L949" s="4">
        <v>910700</v>
      </c>
      <c r="M949" s="4">
        <f>Tabla1[[#This Row],[BASE DEL DIA]]+Tabla1[[#This Row],[ENTREGAS]]+Tabla1[[#This Row],[TARJETAS]]+Tabla1[[#This Row],[NEQUI O QR]]+Tabla1[[#This Row],[VENTAS FE.CREDITO]]-Tabla1[[#This Row],[VENTAS NETAS]]-Tabla1[[#This Row],[BASE ANTERIOR]]</f>
        <v>550</v>
      </c>
    </row>
    <row r="950" spans="1:13" ht="13.5" customHeight="1" x14ac:dyDescent="0.2">
      <c r="A950" s="1">
        <v>5726</v>
      </c>
      <c r="B950" s="2">
        <v>45390</v>
      </c>
      <c r="C950" s="3" t="s">
        <v>78</v>
      </c>
      <c r="D950" s="1" t="s">
        <v>17</v>
      </c>
      <c r="E950" s="1" t="s">
        <v>23</v>
      </c>
      <c r="F950" s="4">
        <v>2749800</v>
      </c>
      <c r="G950" s="4">
        <v>2632000</v>
      </c>
      <c r="H950" s="4">
        <v>5300</v>
      </c>
      <c r="I950" s="4">
        <v>0</v>
      </c>
      <c r="J950" s="4">
        <v>39000</v>
      </c>
      <c r="K950" s="4">
        <v>910700</v>
      </c>
      <c r="L950" s="4">
        <v>836500</v>
      </c>
      <c r="M950" s="4">
        <f>Tabla1[[#This Row],[BASE DEL DIA]]+Tabla1[[#This Row],[ENTREGAS]]+Tabla1[[#This Row],[TARJETAS]]+Tabla1[[#This Row],[NEQUI O QR]]+Tabla1[[#This Row],[VENTAS FE.CREDITO]]-Tabla1[[#This Row],[VENTAS NETAS]]-Tabla1[[#This Row],[BASE ANTERIOR]]</f>
        <v>700</v>
      </c>
    </row>
    <row r="951" spans="1:13" ht="13.5" customHeight="1" x14ac:dyDescent="0.2">
      <c r="A951" s="1">
        <v>5725</v>
      </c>
      <c r="B951" s="2">
        <v>45389</v>
      </c>
      <c r="C951" s="3" t="s">
        <v>63</v>
      </c>
      <c r="D951" s="1" t="s">
        <v>17</v>
      </c>
      <c r="E951" s="1" t="s">
        <v>23</v>
      </c>
      <c r="F951" s="4">
        <v>4646750</v>
      </c>
      <c r="G951" s="4">
        <v>4474900</v>
      </c>
      <c r="H951" s="4">
        <v>188600</v>
      </c>
      <c r="I951" s="4">
        <v>40100</v>
      </c>
      <c r="J951" s="4">
        <v>4900</v>
      </c>
      <c r="K951" s="4">
        <v>836500</v>
      </c>
      <c r="L951" s="4">
        <v>897300</v>
      </c>
      <c r="M951" s="4">
        <f>Tabla1[[#This Row],[BASE DEL DIA]]+Tabla1[[#This Row],[ENTREGAS]]+Tabla1[[#This Row],[TARJETAS]]+Tabla1[[#This Row],[NEQUI O QR]]+Tabla1[[#This Row],[VENTAS FE.CREDITO]]-Tabla1[[#This Row],[VENTAS NETAS]]-Tabla1[[#This Row],[BASE ANTERIOR]]</f>
        <v>950</v>
      </c>
    </row>
    <row r="952" spans="1:13" ht="13.5" customHeight="1" x14ac:dyDescent="0.2">
      <c r="A952" s="1">
        <v>5724</v>
      </c>
      <c r="B952" s="2">
        <v>45389</v>
      </c>
      <c r="C952" s="3" t="s">
        <v>77</v>
      </c>
      <c r="D952" s="1" t="s">
        <v>19</v>
      </c>
      <c r="E952" s="1" t="s">
        <v>22</v>
      </c>
      <c r="F952" s="4">
        <v>3259300</v>
      </c>
      <c r="G952" s="4">
        <v>3121400</v>
      </c>
      <c r="H952" s="4">
        <v>190000</v>
      </c>
      <c r="I952" s="4">
        <v>0</v>
      </c>
      <c r="J952" s="4">
        <v>0</v>
      </c>
      <c r="K952" s="4">
        <v>897300</v>
      </c>
      <c r="L952" s="4">
        <v>946700</v>
      </c>
      <c r="M952" s="4">
        <f>Tabla1[[#This Row],[BASE DEL DIA]]+Tabla1[[#This Row],[ENTREGAS]]+Tabla1[[#This Row],[TARJETAS]]+Tabla1[[#This Row],[NEQUI O QR]]+Tabla1[[#This Row],[VENTAS FE.CREDITO]]-Tabla1[[#This Row],[VENTAS NETAS]]-Tabla1[[#This Row],[BASE ANTERIOR]]</f>
        <v>2700</v>
      </c>
    </row>
    <row r="953" spans="1:13" ht="13.5" customHeight="1" x14ac:dyDescent="0.2">
      <c r="A953" s="1">
        <v>5723</v>
      </c>
      <c r="B953" s="2">
        <v>45388</v>
      </c>
      <c r="C953" s="3" t="s">
        <v>63</v>
      </c>
      <c r="D953" s="1" t="s">
        <v>18</v>
      </c>
      <c r="E953" s="1" t="s">
        <v>23</v>
      </c>
      <c r="F953" s="4">
        <v>4615300</v>
      </c>
      <c r="G953" s="4">
        <v>4400000</v>
      </c>
      <c r="H953" s="4">
        <v>189900</v>
      </c>
      <c r="I953" s="4">
        <v>0</v>
      </c>
      <c r="J953" s="4">
        <v>13000</v>
      </c>
      <c r="K953" s="4">
        <v>946700</v>
      </c>
      <c r="L953" s="4">
        <v>934300</v>
      </c>
      <c r="M953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954" spans="1:13" ht="13.5" customHeight="1" x14ac:dyDescent="0.2">
      <c r="A954" s="1">
        <v>5722</v>
      </c>
      <c r="B954" s="2">
        <v>45388</v>
      </c>
      <c r="C954" s="3" t="s">
        <v>76</v>
      </c>
      <c r="D954" s="1" t="s">
        <v>17</v>
      </c>
      <c r="E954" s="1" t="s">
        <v>22</v>
      </c>
      <c r="F954" s="4">
        <v>2549750</v>
      </c>
      <c r="G954" s="4">
        <v>2246300</v>
      </c>
      <c r="H954" s="4">
        <v>46700</v>
      </c>
      <c r="I954" s="4">
        <v>271000</v>
      </c>
      <c r="J954" s="4">
        <v>0</v>
      </c>
      <c r="K954" s="4">
        <v>934300</v>
      </c>
      <c r="L954" s="4">
        <v>935400</v>
      </c>
      <c r="M954" s="4">
        <f>Tabla1[[#This Row],[BASE DEL DIA]]+Tabla1[[#This Row],[ENTREGAS]]+Tabla1[[#This Row],[TARJETAS]]+Tabla1[[#This Row],[NEQUI O QR]]+Tabla1[[#This Row],[VENTAS FE.CREDITO]]-Tabla1[[#This Row],[VENTAS NETAS]]-Tabla1[[#This Row],[BASE ANTERIOR]]</f>
        <v>13150</v>
      </c>
    </row>
    <row r="955" spans="1:13" ht="13.5" customHeight="1" x14ac:dyDescent="0.2">
      <c r="A955" s="1">
        <v>5721</v>
      </c>
      <c r="B955" s="2">
        <v>45387</v>
      </c>
      <c r="C955" s="3" t="s">
        <v>42</v>
      </c>
      <c r="D955" s="1" t="s">
        <v>17</v>
      </c>
      <c r="E955" s="1" t="s">
        <v>23</v>
      </c>
      <c r="F955" s="4">
        <v>3542400</v>
      </c>
      <c r="G955" s="4">
        <v>3387900</v>
      </c>
      <c r="H955" s="4">
        <v>159700</v>
      </c>
      <c r="I955" s="4">
        <v>0</v>
      </c>
      <c r="J955" s="4">
        <v>0</v>
      </c>
      <c r="K955" s="4">
        <v>935400</v>
      </c>
      <c r="L955" s="4">
        <v>939450</v>
      </c>
      <c r="M955" s="4">
        <f>Tabla1[[#This Row],[BASE DEL DIA]]+Tabla1[[#This Row],[ENTREGAS]]+Tabla1[[#This Row],[TARJETAS]]+Tabla1[[#This Row],[NEQUI O QR]]+Tabla1[[#This Row],[VENTAS FE.CREDITO]]-Tabla1[[#This Row],[VENTAS NETAS]]-Tabla1[[#This Row],[BASE ANTERIOR]]</f>
        <v>1150</v>
      </c>
    </row>
    <row r="956" spans="1:13" ht="13.5" customHeight="1" x14ac:dyDescent="0.2">
      <c r="A956" s="1">
        <v>5720</v>
      </c>
      <c r="B956" s="2">
        <v>45387</v>
      </c>
      <c r="C956" s="3" t="s">
        <v>49</v>
      </c>
      <c r="D956" s="1" t="s">
        <v>18</v>
      </c>
      <c r="E956" s="1" t="s">
        <v>22</v>
      </c>
      <c r="F956" s="4">
        <v>2613600</v>
      </c>
      <c r="G956" s="4">
        <v>2681700</v>
      </c>
      <c r="H956" s="4">
        <v>76400</v>
      </c>
      <c r="I956" s="4">
        <v>0</v>
      </c>
      <c r="J956" s="4">
        <v>0</v>
      </c>
      <c r="K956" s="4">
        <v>939450</v>
      </c>
      <c r="L956" s="4">
        <v>1083950</v>
      </c>
      <c r="M956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957" spans="1:13" ht="13.5" customHeight="1" x14ac:dyDescent="0.2">
      <c r="A957" s="1">
        <v>5719</v>
      </c>
      <c r="B957" s="2">
        <v>45386</v>
      </c>
      <c r="C957" s="3" t="s">
        <v>63</v>
      </c>
      <c r="D957" s="1" t="s">
        <v>18</v>
      </c>
      <c r="E957" s="1" t="s">
        <v>23</v>
      </c>
      <c r="F957" s="4">
        <v>3864850</v>
      </c>
      <c r="G957" s="4">
        <v>3471800</v>
      </c>
      <c r="H957" s="4">
        <v>159100</v>
      </c>
      <c r="I957" s="4">
        <v>0</v>
      </c>
      <c r="J957" s="4">
        <v>25000</v>
      </c>
      <c r="K957" s="4">
        <v>1083950</v>
      </c>
      <c r="L957" s="4">
        <v>875000</v>
      </c>
      <c r="M957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958" spans="1:13" ht="13.5" customHeight="1" x14ac:dyDescent="0.2">
      <c r="A958" s="1">
        <v>5718</v>
      </c>
      <c r="B958" s="2">
        <v>45386</v>
      </c>
      <c r="C958" s="3" t="s">
        <v>75</v>
      </c>
      <c r="D958" s="1" t="s">
        <v>17</v>
      </c>
      <c r="E958" s="1" t="s">
        <v>23</v>
      </c>
      <c r="F958" s="4">
        <v>2884130</v>
      </c>
      <c r="G958" s="4">
        <v>2895550</v>
      </c>
      <c r="H958" s="4">
        <v>50400</v>
      </c>
      <c r="I958" s="4">
        <v>0</v>
      </c>
      <c r="J958" s="4">
        <v>0</v>
      </c>
      <c r="K958" s="4">
        <v>875000</v>
      </c>
      <c r="L958" s="4">
        <v>926600</v>
      </c>
      <c r="M958" s="4">
        <f>Tabla1[[#This Row],[BASE DEL DIA]]+Tabla1[[#This Row],[ENTREGAS]]+Tabla1[[#This Row],[TARJETAS]]+Tabla1[[#This Row],[NEQUI O QR]]+Tabla1[[#This Row],[VENTAS FE.CREDITO]]-Tabla1[[#This Row],[VENTAS NETAS]]-Tabla1[[#This Row],[BASE ANTERIOR]]</f>
        <v>10220</v>
      </c>
    </row>
    <row r="959" spans="1:13" ht="13.5" customHeight="1" x14ac:dyDescent="0.2">
      <c r="A959" s="1">
        <v>5717</v>
      </c>
      <c r="B959" s="2">
        <v>45385</v>
      </c>
      <c r="C959" s="3" t="s">
        <v>50</v>
      </c>
      <c r="D959" s="1" t="s">
        <v>17</v>
      </c>
      <c r="E959" s="1" t="s">
        <v>23</v>
      </c>
      <c r="F959" s="4">
        <v>4663800</v>
      </c>
      <c r="G959" s="4">
        <v>4289400</v>
      </c>
      <c r="H959" s="4">
        <v>333500</v>
      </c>
      <c r="I959" s="4">
        <v>34400</v>
      </c>
      <c r="J959" s="4">
        <v>44900</v>
      </c>
      <c r="K959" s="4">
        <v>926600</v>
      </c>
      <c r="L959" s="4">
        <v>963600</v>
      </c>
      <c r="M959" s="4">
        <f>Tabla1[[#This Row],[BASE DEL DIA]]+Tabla1[[#This Row],[ENTREGAS]]+Tabla1[[#This Row],[TARJETAS]]+Tabla1[[#This Row],[NEQUI O QR]]+Tabla1[[#This Row],[VENTAS FE.CREDITO]]-Tabla1[[#This Row],[VENTAS NETAS]]-Tabla1[[#This Row],[BASE ANTERIOR]]</f>
        <v>1400</v>
      </c>
    </row>
    <row r="960" spans="1:13" ht="13.5" customHeight="1" x14ac:dyDescent="0.2">
      <c r="A960" s="1">
        <v>5716</v>
      </c>
      <c r="B960" s="2">
        <v>45385</v>
      </c>
      <c r="C960" s="3" t="s">
        <v>74</v>
      </c>
      <c r="D960" s="1" t="s">
        <v>18</v>
      </c>
      <c r="E960" s="1" t="s">
        <v>22</v>
      </c>
      <c r="F960" s="4">
        <v>2608400</v>
      </c>
      <c r="G960" s="4">
        <v>2422350</v>
      </c>
      <c r="H960" s="4">
        <v>243000</v>
      </c>
      <c r="I960" s="4">
        <v>12200</v>
      </c>
      <c r="J960" s="4">
        <v>0</v>
      </c>
      <c r="K960" s="4">
        <v>963600</v>
      </c>
      <c r="L960" s="4">
        <v>1024750</v>
      </c>
      <c r="M960" s="4">
        <f>Tabla1[[#This Row],[BASE DEL DIA]]+Tabla1[[#This Row],[ENTREGAS]]+Tabla1[[#This Row],[TARJETAS]]+Tabla1[[#This Row],[NEQUI O QR]]+Tabla1[[#This Row],[VENTAS FE.CREDITO]]-Tabla1[[#This Row],[VENTAS NETAS]]-Tabla1[[#This Row],[BASE ANTERIOR]]</f>
        <v>8000</v>
      </c>
    </row>
    <row r="961" spans="1:13" ht="13.5" customHeight="1" x14ac:dyDescent="0.2">
      <c r="A961" s="1">
        <v>5715</v>
      </c>
      <c r="B961" s="2">
        <v>45384</v>
      </c>
      <c r="C961" s="3" t="s">
        <v>73</v>
      </c>
      <c r="D961" s="1" t="s">
        <v>18</v>
      </c>
      <c r="E961" s="1" t="s">
        <v>23</v>
      </c>
      <c r="F961" s="4">
        <v>6015150</v>
      </c>
      <c r="G961" s="4">
        <v>5240000</v>
      </c>
      <c r="H961" s="4">
        <v>359700</v>
      </c>
      <c r="I961" s="4">
        <v>11000</v>
      </c>
      <c r="J961" s="4">
        <v>383400</v>
      </c>
      <c r="K961" s="4">
        <v>1024750</v>
      </c>
      <c r="L961" s="4">
        <v>1000850</v>
      </c>
      <c r="M961" s="4">
        <f>Tabla1[[#This Row],[BASE DEL DIA]]+Tabla1[[#This Row],[ENTREGAS]]+Tabla1[[#This Row],[TARJETAS]]+Tabla1[[#This Row],[NEQUI O QR]]+Tabla1[[#This Row],[VENTAS FE.CREDITO]]-Tabla1[[#This Row],[VENTAS NETAS]]-Tabla1[[#This Row],[BASE ANTERIOR]]</f>
        <v>2850</v>
      </c>
    </row>
    <row r="962" spans="1:13" ht="13.5" customHeight="1" x14ac:dyDescent="0.2">
      <c r="A962" s="1">
        <v>5713</v>
      </c>
      <c r="B962" s="2">
        <v>45384</v>
      </c>
      <c r="C962" s="3" t="s">
        <v>58</v>
      </c>
      <c r="D962" s="1" t="s">
        <v>17</v>
      </c>
      <c r="E962" s="1" t="s">
        <v>22</v>
      </c>
      <c r="F962" s="4">
        <v>3992310</v>
      </c>
      <c r="G962" s="4">
        <v>3870000</v>
      </c>
      <c r="H962" s="4">
        <v>16360</v>
      </c>
      <c r="I962" s="4">
        <v>0</v>
      </c>
      <c r="J962" s="4">
        <v>0</v>
      </c>
      <c r="K962" s="4">
        <v>1001850</v>
      </c>
      <c r="L962" s="4">
        <v>896800</v>
      </c>
      <c r="M962" s="4">
        <f>Tabla1[[#This Row],[BASE DEL DIA]]+Tabla1[[#This Row],[ENTREGAS]]+Tabla1[[#This Row],[TARJETAS]]+Tabla1[[#This Row],[NEQUI O QR]]+Tabla1[[#This Row],[VENTAS FE.CREDITO]]-Tabla1[[#This Row],[VENTAS NETAS]]-Tabla1[[#This Row],[BASE ANTERIOR]]</f>
        <v>-900</v>
      </c>
    </row>
    <row r="963" spans="1:13" ht="13.5" customHeight="1" x14ac:dyDescent="0.2">
      <c r="A963" s="1">
        <v>5712</v>
      </c>
      <c r="B963" s="2">
        <v>45383</v>
      </c>
      <c r="C963" s="3" t="s">
        <v>40</v>
      </c>
      <c r="D963" s="1" t="s">
        <v>16</v>
      </c>
      <c r="E963" s="1" t="s">
        <v>23</v>
      </c>
      <c r="F963" s="4">
        <v>4145600</v>
      </c>
      <c r="G963" s="4">
        <v>3960000</v>
      </c>
      <c r="H963" s="4">
        <v>221000</v>
      </c>
      <c r="I963" s="4">
        <v>0</v>
      </c>
      <c r="J963" s="4">
        <v>3200</v>
      </c>
      <c r="K963" s="4">
        <v>896800</v>
      </c>
      <c r="L963" s="4">
        <v>935050</v>
      </c>
      <c r="M963" s="4">
        <f>Tabla1[[#This Row],[BASE DEL DIA]]+Tabla1[[#This Row],[ENTREGAS]]+Tabla1[[#This Row],[TARJETAS]]+Tabla1[[#This Row],[NEQUI O QR]]+Tabla1[[#This Row],[VENTAS FE.CREDITO]]-Tabla1[[#This Row],[VENTAS NETAS]]-Tabla1[[#This Row],[BASE ANTERIOR]]</f>
        <v>350</v>
      </c>
    </row>
    <row r="964" spans="1:13" ht="13.5" customHeight="1" x14ac:dyDescent="0.2">
      <c r="A964" s="1">
        <v>5711</v>
      </c>
      <c r="B964" s="2">
        <v>45383</v>
      </c>
      <c r="C964" s="3" t="s">
        <v>61</v>
      </c>
      <c r="D964" s="1" t="s">
        <v>18</v>
      </c>
      <c r="E964" s="1" t="s">
        <v>22</v>
      </c>
      <c r="F964" s="4">
        <v>3160850</v>
      </c>
      <c r="G964" s="4">
        <v>3230450</v>
      </c>
      <c r="H964" s="4">
        <v>0</v>
      </c>
      <c r="I964" s="4">
        <v>0</v>
      </c>
      <c r="J964" s="4">
        <v>5300</v>
      </c>
      <c r="K964" s="4">
        <v>935050</v>
      </c>
      <c r="L964" s="4">
        <v>1009900</v>
      </c>
      <c r="M964" s="4">
        <f>Tabla1[[#This Row],[BASE DEL DIA]]+Tabla1[[#This Row],[ENTREGAS]]+Tabla1[[#This Row],[TARJETAS]]+Tabla1[[#This Row],[NEQUI O QR]]+Tabla1[[#This Row],[VENTAS FE.CREDITO]]-Tabla1[[#This Row],[VENTAS NETAS]]-Tabla1[[#This Row],[BASE ANTERIOR]]</f>
        <v>50</v>
      </c>
    </row>
    <row r="965" spans="1:13" ht="13.5" customHeight="1" x14ac:dyDescent="0.2">
      <c r="A965" s="1">
        <v>5710</v>
      </c>
      <c r="B965" s="2">
        <v>45382</v>
      </c>
      <c r="C965" s="3" t="s">
        <v>54</v>
      </c>
      <c r="D965" s="1" t="s">
        <v>18</v>
      </c>
      <c r="E965" s="1" t="s">
        <v>24</v>
      </c>
      <c r="F965" s="4">
        <v>9128840</v>
      </c>
      <c r="G965" s="4">
        <v>8131400</v>
      </c>
      <c r="H965" s="4">
        <v>939800</v>
      </c>
      <c r="I965" s="4">
        <v>0</v>
      </c>
      <c r="J965" s="4">
        <v>12800</v>
      </c>
      <c r="K965" s="4">
        <v>1009900</v>
      </c>
      <c r="L965" s="4">
        <v>956650</v>
      </c>
      <c r="M965" s="4">
        <f>Tabla1[[#This Row],[BASE DEL DIA]]+Tabla1[[#This Row],[ENTREGAS]]+Tabla1[[#This Row],[TARJETAS]]+Tabla1[[#This Row],[NEQUI O QR]]+Tabla1[[#This Row],[VENTAS FE.CREDITO]]-Tabla1[[#This Row],[VENTAS NETAS]]-Tabla1[[#This Row],[BASE ANTERIOR]]</f>
        <v>8410</v>
      </c>
    </row>
    <row r="966" spans="1:13" ht="13.5" customHeight="1" x14ac:dyDescent="0.2">
      <c r="A966" s="1">
        <v>5709</v>
      </c>
      <c r="B966" s="2">
        <v>45381</v>
      </c>
      <c r="C966" s="3" t="s">
        <v>72</v>
      </c>
      <c r="D966" s="1" t="s">
        <v>17</v>
      </c>
      <c r="E966" s="1" t="s">
        <v>23</v>
      </c>
      <c r="F966" s="4">
        <v>4280400</v>
      </c>
      <c r="G966" s="4">
        <v>3970000</v>
      </c>
      <c r="H966" s="4">
        <v>368500</v>
      </c>
      <c r="I966" s="4">
        <v>0</v>
      </c>
      <c r="J966" s="4">
        <v>0</v>
      </c>
      <c r="K966" s="4">
        <v>956650</v>
      </c>
      <c r="L966" s="4">
        <v>1013350</v>
      </c>
      <c r="M966" s="4">
        <f>Tabla1[[#This Row],[BASE DEL DIA]]+Tabla1[[#This Row],[ENTREGAS]]+Tabla1[[#This Row],[TARJETAS]]+Tabla1[[#This Row],[NEQUI O QR]]+Tabla1[[#This Row],[VENTAS FE.CREDITO]]-Tabla1[[#This Row],[VENTAS NETAS]]-Tabla1[[#This Row],[BASE ANTERIOR]]</f>
        <v>1400</v>
      </c>
    </row>
    <row r="967" spans="1:13" ht="13.5" customHeight="1" x14ac:dyDescent="0.2">
      <c r="A967" s="1">
        <v>5708</v>
      </c>
      <c r="B967" s="2">
        <v>45381</v>
      </c>
      <c r="C967" s="3" t="s">
        <v>55</v>
      </c>
      <c r="D967" s="1" t="s">
        <v>18</v>
      </c>
      <c r="E967" s="1" t="s">
        <v>22</v>
      </c>
      <c r="F967" s="4">
        <v>3938000</v>
      </c>
      <c r="G967" s="4">
        <v>3775300</v>
      </c>
      <c r="H967" s="4">
        <v>155200</v>
      </c>
      <c r="I967" s="4">
        <v>0</v>
      </c>
      <c r="J967" s="4">
        <v>0</v>
      </c>
      <c r="K967" s="4">
        <v>1013350</v>
      </c>
      <c r="L967" s="4">
        <v>1005050</v>
      </c>
      <c r="M967" s="4">
        <f>Tabla1[[#This Row],[BASE DEL DIA]]+Tabla1[[#This Row],[ENTREGAS]]+Tabla1[[#This Row],[TARJETAS]]+Tabla1[[#This Row],[NEQUI O QR]]+Tabla1[[#This Row],[VENTAS FE.CREDITO]]-Tabla1[[#This Row],[VENTAS NETAS]]-Tabla1[[#This Row],[BASE ANTERIOR]]</f>
        <v>800</v>
      </c>
    </row>
    <row r="968" spans="1:13" ht="13.5" customHeight="1" x14ac:dyDescent="0.2">
      <c r="A968" s="1">
        <v>5707</v>
      </c>
      <c r="B968" s="2">
        <v>45380</v>
      </c>
      <c r="C968" s="3" t="s">
        <v>70</v>
      </c>
      <c r="D968" s="1" t="s">
        <v>18</v>
      </c>
      <c r="E968" s="1" t="s">
        <v>71</v>
      </c>
      <c r="F968" s="4">
        <v>5257050</v>
      </c>
      <c r="G968" s="4">
        <v>4729800</v>
      </c>
      <c r="H968" s="4">
        <v>343000</v>
      </c>
      <c r="I968" s="4">
        <v>30400</v>
      </c>
      <c r="J968" s="4">
        <v>11100</v>
      </c>
      <c r="K968" s="4">
        <v>1005050</v>
      </c>
      <c r="L968" s="4">
        <v>862350</v>
      </c>
      <c r="M968" s="4">
        <f>Tabla1[[#This Row],[BASE DEL DIA]]+Tabla1[[#This Row],[ENTREGAS]]+Tabla1[[#This Row],[TARJETAS]]+Tabla1[[#This Row],[NEQUI O QR]]+Tabla1[[#This Row],[VENTAS FE.CREDITO]]-Tabla1[[#This Row],[VENTAS NETAS]]-Tabla1[[#This Row],[BASE ANTERIOR]]</f>
        <v>-50</v>
      </c>
    </row>
    <row r="969" spans="1:13" ht="13.5" customHeight="1" x14ac:dyDescent="0.2">
      <c r="A969" s="1">
        <v>5706</v>
      </c>
      <c r="B969" s="2">
        <v>45379</v>
      </c>
      <c r="C969" s="3" t="s">
        <v>69</v>
      </c>
      <c r="D969" s="1" t="s">
        <v>17</v>
      </c>
      <c r="E969" s="1" t="s">
        <v>23</v>
      </c>
      <c r="F969" s="4">
        <v>4219700</v>
      </c>
      <c r="G969" s="4">
        <v>3790000</v>
      </c>
      <c r="H969" s="4">
        <v>568700</v>
      </c>
      <c r="I969" s="4">
        <v>0</v>
      </c>
      <c r="J969" s="4">
        <v>4500</v>
      </c>
      <c r="K969" s="4">
        <v>862350</v>
      </c>
      <c r="L969" s="4">
        <v>1005500</v>
      </c>
      <c r="M969" s="4">
        <f>Tabla1[[#This Row],[BASE DEL DIA]]+Tabla1[[#This Row],[ENTREGAS]]+Tabla1[[#This Row],[TARJETAS]]+Tabla1[[#This Row],[NEQUI O QR]]+Tabla1[[#This Row],[VENTAS FE.CREDITO]]-Tabla1[[#This Row],[VENTAS NETAS]]-Tabla1[[#This Row],[BASE ANTERIOR]]</f>
        <v>350</v>
      </c>
    </row>
    <row r="970" spans="1:13" ht="13.5" customHeight="1" x14ac:dyDescent="0.2">
      <c r="A970" s="1">
        <v>5705</v>
      </c>
      <c r="B970" s="2">
        <v>45379</v>
      </c>
      <c r="C970" s="3" t="s">
        <v>68</v>
      </c>
      <c r="D970" s="1" t="s">
        <v>18</v>
      </c>
      <c r="E970" s="1" t="s">
        <v>22</v>
      </c>
      <c r="F970" s="4">
        <v>4251400</v>
      </c>
      <c r="G970" s="4">
        <v>3597400</v>
      </c>
      <c r="H970" s="4">
        <v>574700</v>
      </c>
      <c r="I970" s="4">
        <v>0</v>
      </c>
      <c r="J970" s="4">
        <v>10300</v>
      </c>
      <c r="K970" s="4">
        <v>1005500</v>
      </c>
      <c r="L970" s="4">
        <v>933000</v>
      </c>
      <c r="M970" s="4">
        <f>Tabla1[[#This Row],[BASE DEL DIA]]+Tabla1[[#This Row],[ENTREGAS]]+Tabla1[[#This Row],[TARJETAS]]+Tabla1[[#This Row],[NEQUI O QR]]+Tabla1[[#This Row],[VENTAS FE.CREDITO]]-Tabla1[[#This Row],[VENTAS NETAS]]-Tabla1[[#This Row],[BASE ANTERIOR]]</f>
        <v>3500</v>
      </c>
    </row>
    <row r="971" spans="1:13" ht="13.5" customHeight="1" x14ac:dyDescent="0.2">
      <c r="A971" s="1">
        <v>5704</v>
      </c>
      <c r="B971" s="2">
        <v>45378</v>
      </c>
      <c r="C971" s="3" t="s">
        <v>63</v>
      </c>
      <c r="D971" s="1" t="s">
        <v>18</v>
      </c>
      <c r="E971" s="1" t="s">
        <v>23</v>
      </c>
      <c r="F971" s="4">
        <v>3946850</v>
      </c>
      <c r="G971" s="4">
        <v>3550200</v>
      </c>
      <c r="H971" s="4">
        <v>447050</v>
      </c>
      <c r="I971" s="4">
        <v>0</v>
      </c>
      <c r="J971" s="4">
        <v>35400</v>
      </c>
      <c r="K971" s="4">
        <v>933000</v>
      </c>
      <c r="L971" s="4">
        <v>1017200</v>
      </c>
      <c r="M971" s="4">
        <f>Tabla1[[#This Row],[BASE DEL DIA]]+Tabla1[[#This Row],[ENTREGAS]]+Tabla1[[#This Row],[TARJETAS]]+Tabla1[[#This Row],[NEQUI O QR]]+Tabla1[[#This Row],[VENTAS FE.CREDITO]]-Tabla1[[#This Row],[VENTAS NETAS]]-Tabla1[[#This Row],[BASE ANTERIOR]]</f>
        <v>1600</v>
      </c>
    </row>
    <row r="972" spans="1:13" ht="13.5" customHeight="1" x14ac:dyDescent="0.2">
      <c r="A972" s="1">
        <v>5703</v>
      </c>
      <c r="B972" s="2">
        <v>45378</v>
      </c>
      <c r="C972" s="3" t="s">
        <v>67</v>
      </c>
      <c r="D972" s="1" t="s">
        <v>17</v>
      </c>
      <c r="E972" s="1" t="s">
        <v>22</v>
      </c>
      <c r="F972" s="4">
        <v>2918850</v>
      </c>
      <c r="G972" s="4">
        <v>2659610</v>
      </c>
      <c r="H972" s="4">
        <v>131700</v>
      </c>
      <c r="I972" s="4">
        <v>0</v>
      </c>
      <c r="J972" s="4">
        <v>0</v>
      </c>
      <c r="K972" s="4">
        <v>1017200</v>
      </c>
      <c r="L972" s="4">
        <v>887600</v>
      </c>
      <c r="M972" s="4">
        <f>Tabla1[[#This Row],[BASE DEL DIA]]+Tabla1[[#This Row],[ENTREGAS]]+Tabla1[[#This Row],[TARJETAS]]+Tabla1[[#This Row],[NEQUI O QR]]+Tabla1[[#This Row],[VENTAS FE.CREDITO]]-Tabla1[[#This Row],[VENTAS NETAS]]-Tabla1[[#This Row],[BASE ANTERIOR]]</f>
        <v>2060</v>
      </c>
    </row>
    <row r="973" spans="1:13" ht="13.5" customHeight="1" x14ac:dyDescent="0.2">
      <c r="A973" s="1">
        <v>5702</v>
      </c>
      <c r="B973" s="2">
        <v>45377</v>
      </c>
      <c r="C973" s="3" t="s">
        <v>50</v>
      </c>
      <c r="D973" s="1" t="s">
        <v>17</v>
      </c>
      <c r="E973" s="1" t="s">
        <v>23</v>
      </c>
      <c r="F973" s="4">
        <v>3375400</v>
      </c>
      <c r="G973" s="4">
        <v>3425000</v>
      </c>
      <c r="H973" s="4">
        <v>109700</v>
      </c>
      <c r="I973" s="4">
        <v>3100</v>
      </c>
      <c r="J973" s="4">
        <v>0</v>
      </c>
      <c r="K973" s="4">
        <v>887600</v>
      </c>
      <c r="L973" s="4">
        <v>1049800</v>
      </c>
      <c r="M973" s="4">
        <f>Tabla1[[#This Row],[BASE DEL DIA]]+Tabla1[[#This Row],[ENTREGAS]]+Tabla1[[#This Row],[TARJETAS]]+Tabla1[[#This Row],[NEQUI O QR]]+Tabla1[[#This Row],[VENTAS FE.CREDITO]]-Tabla1[[#This Row],[VENTAS NETAS]]-Tabla1[[#This Row],[BASE ANTERIOR]]</f>
        <v>200</v>
      </c>
    </row>
    <row r="974" spans="1:13" ht="13.5" customHeight="1" x14ac:dyDescent="0.2">
      <c r="A974" s="1">
        <v>5701</v>
      </c>
      <c r="B974" s="2">
        <v>45377</v>
      </c>
      <c r="C974" s="3" t="s">
        <v>67</v>
      </c>
      <c r="D974" s="1" t="s">
        <v>18</v>
      </c>
      <c r="E974" s="1" t="s">
        <v>22</v>
      </c>
      <c r="F974" s="4">
        <v>2435500</v>
      </c>
      <c r="G974" s="4">
        <v>2297400</v>
      </c>
      <c r="H974" s="4">
        <v>78100</v>
      </c>
      <c r="I974" s="4">
        <v>0</v>
      </c>
      <c r="J974" s="4">
        <v>0</v>
      </c>
      <c r="K974" s="4">
        <v>1049800</v>
      </c>
      <c r="L974" s="4">
        <v>988400</v>
      </c>
      <c r="M974" s="4">
        <f>Tabla1[[#This Row],[BASE DEL DIA]]+Tabla1[[#This Row],[ENTREGAS]]+Tabla1[[#This Row],[TARJETAS]]+Tabla1[[#This Row],[NEQUI O QR]]+Tabla1[[#This Row],[VENTAS FE.CREDITO]]-Tabla1[[#This Row],[VENTAS NETAS]]-Tabla1[[#This Row],[BASE ANTERIOR]]</f>
        <v>1400</v>
      </c>
    </row>
    <row r="975" spans="1:13" ht="13.5" customHeight="1" x14ac:dyDescent="0.2">
      <c r="A975" s="1">
        <v>5700</v>
      </c>
      <c r="B975" s="2">
        <v>45376</v>
      </c>
      <c r="C975" s="3" t="s">
        <v>66</v>
      </c>
      <c r="D975" s="1" t="s">
        <v>18</v>
      </c>
      <c r="E975" s="1" t="s">
        <v>23</v>
      </c>
      <c r="F975" s="4">
        <v>3836600</v>
      </c>
      <c r="G975" s="4">
        <v>3458500</v>
      </c>
      <c r="H975" s="4">
        <v>167900</v>
      </c>
      <c r="I975" s="4">
        <v>0</v>
      </c>
      <c r="J975" s="4">
        <v>85100</v>
      </c>
      <c r="K975" s="4">
        <v>988400</v>
      </c>
      <c r="L975" s="4">
        <v>863250</v>
      </c>
      <c r="M975" s="4">
        <f>Tabla1[[#This Row],[BASE DEL DIA]]+Tabla1[[#This Row],[ENTREGAS]]+Tabla1[[#This Row],[TARJETAS]]+Tabla1[[#This Row],[NEQUI O QR]]+Tabla1[[#This Row],[VENTAS FE.CREDITO]]-Tabla1[[#This Row],[VENTAS NETAS]]-Tabla1[[#This Row],[BASE ANTERIOR]]</f>
        <v>50</v>
      </c>
    </row>
    <row r="976" spans="1:13" ht="13.5" customHeight="1" x14ac:dyDescent="0.2">
      <c r="A976" s="1">
        <v>5699</v>
      </c>
      <c r="B976" s="2">
        <v>45376</v>
      </c>
      <c r="C976" s="3" t="s">
        <v>65</v>
      </c>
      <c r="D976" s="1" t="s">
        <v>17</v>
      </c>
      <c r="E976" s="1" t="s">
        <v>22</v>
      </c>
      <c r="F976" s="4">
        <v>4080040</v>
      </c>
      <c r="G976" s="4">
        <v>3868750</v>
      </c>
      <c r="H976" s="4">
        <v>261100</v>
      </c>
      <c r="I976" s="4">
        <v>0</v>
      </c>
      <c r="J976" s="4">
        <v>0</v>
      </c>
      <c r="K976" s="4">
        <v>863250</v>
      </c>
      <c r="L976" s="4">
        <v>907500</v>
      </c>
      <c r="M976" s="4">
        <f>Tabla1[[#This Row],[BASE DEL DIA]]+Tabla1[[#This Row],[ENTREGAS]]+Tabla1[[#This Row],[TARJETAS]]+Tabla1[[#This Row],[NEQUI O QR]]+Tabla1[[#This Row],[VENTAS FE.CREDITO]]-Tabla1[[#This Row],[VENTAS NETAS]]-Tabla1[[#This Row],[BASE ANTERIOR]]</f>
        <v>5560</v>
      </c>
    </row>
    <row r="977" spans="1:13" ht="13.5" customHeight="1" x14ac:dyDescent="0.2">
      <c r="A977" s="1">
        <v>5697</v>
      </c>
      <c r="B977" s="2">
        <v>45375</v>
      </c>
      <c r="C977" s="3" t="s">
        <v>54</v>
      </c>
      <c r="D977" s="1" t="s">
        <v>17</v>
      </c>
      <c r="E977" s="1" t="s">
        <v>23</v>
      </c>
      <c r="F977" s="4">
        <v>4076650</v>
      </c>
      <c r="G977" s="4">
        <v>4038000</v>
      </c>
      <c r="H977" s="4">
        <v>142200</v>
      </c>
      <c r="I977" s="4">
        <v>16900</v>
      </c>
      <c r="J977" s="4">
        <v>43200</v>
      </c>
      <c r="K977" s="4">
        <v>907500</v>
      </c>
      <c r="L977" s="4">
        <v>1054400</v>
      </c>
      <c r="M977" s="4">
        <f>Tabla1[[#This Row],[BASE DEL DIA]]+Tabla1[[#This Row],[ENTREGAS]]+Tabla1[[#This Row],[TARJETAS]]+Tabla1[[#This Row],[NEQUI O QR]]+Tabla1[[#This Row],[VENTAS FE.CREDITO]]-Tabla1[[#This Row],[VENTAS NETAS]]-Tabla1[[#This Row],[BASE ANTERIOR]]</f>
        <v>16750</v>
      </c>
    </row>
    <row r="978" spans="1:13" ht="13.5" customHeight="1" x14ac:dyDescent="0.2">
      <c r="A978" s="1">
        <v>5696</v>
      </c>
      <c r="B978" s="2">
        <v>45375</v>
      </c>
      <c r="C978" s="3" t="s">
        <v>64</v>
      </c>
      <c r="D978" s="1" t="s">
        <v>17</v>
      </c>
      <c r="E978" s="1" t="s">
        <v>22</v>
      </c>
      <c r="F978" s="4">
        <v>2937600</v>
      </c>
      <c r="G978" s="4">
        <v>2770000</v>
      </c>
      <c r="H978" s="4">
        <v>114000</v>
      </c>
      <c r="I978" s="4">
        <v>0</v>
      </c>
      <c r="J978" s="4">
        <v>10300</v>
      </c>
      <c r="K978" s="4">
        <v>1054400</v>
      </c>
      <c r="L978" s="4">
        <v>1051700</v>
      </c>
      <c r="M978" s="4">
        <f>Tabla1[[#This Row],[BASE DEL DIA]]+Tabla1[[#This Row],[ENTREGAS]]+Tabla1[[#This Row],[TARJETAS]]+Tabla1[[#This Row],[NEQUI O QR]]+Tabla1[[#This Row],[VENTAS FE.CREDITO]]-Tabla1[[#This Row],[VENTAS NETAS]]-Tabla1[[#This Row],[BASE ANTERIOR]]</f>
        <v>-40600</v>
      </c>
    </row>
    <row r="979" spans="1:13" ht="13.5" customHeight="1" x14ac:dyDescent="0.2">
      <c r="A979" s="1">
        <v>5695</v>
      </c>
      <c r="B979" s="2">
        <v>45374</v>
      </c>
      <c r="C979" s="3" t="s">
        <v>63</v>
      </c>
      <c r="D979" s="1" t="s">
        <v>18</v>
      </c>
      <c r="E979" s="1" t="s">
        <v>23</v>
      </c>
      <c r="F979" s="4">
        <v>3259100</v>
      </c>
      <c r="G979" s="4">
        <v>3070000</v>
      </c>
      <c r="H979" s="4">
        <v>139000</v>
      </c>
      <c r="I979" s="4">
        <v>0</v>
      </c>
      <c r="J979" s="4">
        <v>4200</v>
      </c>
      <c r="K979" s="4">
        <v>1051700</v>
      </c>
      <c r="L979" s="4">
        <v>1004900</v>
      </c>
      <c r="M979" s="4">
        <f>Tabla1[[#This Row],[BASE DEL DIA]]+Tabla1[[#This Row],[ENTREGAS]]+Tabla1[[#This Row],[TARJETAS]]+Tabla1[[#This Row],[NEQUI O QR]]+Tabla1[[#This Row],[VENTAS FE.CREDITO]]-Tabla1[[#This Row],[VENTAS NETAS]]-Tabla1[[#This Row],[BASE ANTERIOR]]</f>
        <v>900</v>
      </c>
    </row>
    <row r="980" spans="1:13" ht="13.5" customHeight="1" x14ac:dyDescent="0.2">
      <c r="A980" s="1">
        <v>5694</v>
      </c>
      <c r="B980" s="2">
        <v>45374</v>
      </c>
      <c r="C980" s="3" t="s">
        <v>62</v>
      </c>
      <c r="D980" s="1" t="s">
        <v>17</v>
      </c>
      <c r="E980" s="1" t="s">
        <v>22</v>
      </c>
      <c r="F980" s="4">
        <v>2478400</v>
      </c>
      <c r="G980" s="4">
        <v>1919750</v>
      </c>
      <c r="H980" s="4">
        <v>309600</v>
      </c>
      <c r="I980" s="4">
        <v>0</v>
      </c>
      <c r="J980" s="4">
        <v>47600</v>
      </c>
      <c r="K980" s="4">
        <v>1004900</v>
      </c>
      <c r="L980" s="4">
        <v>801900</v>
      </c>
      <c r="M980" s="4">
        <f>Tabla1[[#This Row],[BASE DEL DIA]]+Tabla1[[#This Row],[ENTREGAS]]+Tabla1[[#This Row],[TARJETAS]]+Tabla1[[#This Row],[NEQUI O QR]]+Tabla1[[#This Row],[VENTAS FE.CREDITO]]-Tabla1[[#This Row],[VENTAS NETAS]]-Tabla1[[#This Row],[BASE ANTERIOR]]</f>
        <v>1550</v>
      </c>
    </row>
    <row r="981" spans="1:13" ht="13.5" customHeight="1" x14ac:dyDescent="0.2">
      <c r="A981" s="1">
        <v>5693</v>
      </c>
      <c r="B981" s="2">
        <v>45373</v>
      </c>
      <c r="C981" s="3" t="s">
        <v>50</v>
      </c>
      <c r="D981" s="1" t="s">
        <v>17</v>
      </c>
      <c r="E981" s="1" t="s">
        <v>23</v>
      </c>
      <c r="F981" s="4">
        <v>3449249</v>
      </c>
      <c r="G981" s="4">
        <v>3436300</v>
      </c>
      <c r="H981" s="4">
        <v>103900</v>
      </c>
      <c r="I981" s="4">
        <v>15300</v>
      </c>
      <c r="J981" s="4">
        <v>10400</v>
      </c>
      <c r="K981" s="4">
        <v>801900</v>
      </c>
      <c r="L981" s="4">
        <v>915900</v>
      </c>
      <c r="M981" s="4">
        <f>Tabla1[[#This Row],[BASE DEL DIA]]+Tabla1[[#This Row],[ENTREGAS]]+Tabla1[[#This Row],[TARJETAS]]+Tabla1[[#This Row],[NEQUI O QR]]+Tabla1[[#This Row],[VENTAS FE.CREDITO]]-Tabla1[[#This Row],[VENTAS NETAS]]-Tabla1[[#This Row],[BASE ANTERIOR]]</f>
        <v>2651</v>
      </c>
    </row>
    <row r="982" spans="1:13" ht="13.5" customHeight="1" x14ac:dyDescent="0.2">
      <c r="A982" s="1">
        <v>5692</v>
      </c>
      <c r="B982" s="2">
        <v>45373</v>
      </c>
      <c r="C982" s="3" t="s">
        <v>61</v>
      </c>
      <c r="D982" s="1" t="s">
        <v>18</v>
      </c>
      <c r="E982" s="1" t="s">
        <v>22</v>
      </c>
      <c r="F982" s="4">
        <v>2374100</v>
      </c>
      <c r="G982" s="4">
        <v>2260000</v>
      </c>
      <c r="H982" s="4">
        <v>50800</v>
      </c>
      <c r="I982" s="4">
        <v>0</v>
      </c>
      <c r="J982" s="4">
        <v>11800</v>
      </c>
      <c r="K982" s="4">
        <v>915900</v>
      </c>
      <c r="L982" s="4">
        <v>862300</v>
      </c>
      <c r="M982" s="4">
        <f>Tabla1[[#This Row],[BASE DEL DIA]]+Tabla1[[#This Row],[ENTREGAS]]+Tabla1[[#This Row],[TARJETAS]]+Tabla1[[#This Row],[NEQUI O QR]]+Tabla1[[#This Row],[VENTAS FE.CREDITO]]-Tabla1[[#This Row],[VENTAS NETAS]]-Tabla1[[#This Row],[BASE ANTERIOR]]</f>
        <v>2100</v>
      </c>
    </row>
    <row r="983" spans="1:13" ht="13.5" customHeight="1" x14ac:dyDescent="0.2">
      <c r="A983" s="1">
        <v>5691</v>
      </c>
      <c r="B983" s="2">
        <v>45372</v>
      </c>
      <c r="C983" s="3" t="s">
        <v>40</v>
      </c>
      <c r="D983" s="1" t="s">
        <v>60</v>
      </c>
      <c r="E983" s="1" t="s">
        <v>23</v>
      </c>
      <c r="F983" s="4">
        <v>3091800</v>
      </c>
      <c r="G983" s="4">
        <v>2650000</v>
      </c>
      <c r="H983" s="4">
        <v>192800</v>
      </c>
      <c r="I983" s="4">
        <v>377500</v>
      </c>
      <c r="J983" s="4">
        <v>16700</v>
      </c>
      <c r="K983" s="4">
        <v>862300</v>
      </c>
      <c r="L983" s="4">
        <v>1007500</v>
      </c>
      <c r="M983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984" spans="1:13" ht="13.5" customHeight="1" x14ac:dyDescent="0.2">
      <c r="A984" s="1">
        <v>5690</v>
      </c>
      <c r="B984" s="2">
        <v>45372</v>
      </c>
      <c r="C984" s="3" t="s">
        <v>59</v>
      </c>
      <c r="D984" s="1" t="s">
        <v>17</v>
      </c>
      <c r="E984" s="1" t="s">
        <v>22</v>
      </c>
      <c r="F984" s="4">
        <v>2422500</v>
      </c>
      <c r="G984" s="4">
        <v>2072450</v>
      </c>
      <c r="H984" s="4">
        <v>214400</v>
      </c>
      <c r="I984" s="4">
        <v>0</v>
      </c>
      <c r="J984" s="4">
        <v>20400</v>
      </c>
      <c r="K984" s="4">
        <v>1007500</v>
      </c>
      <c r="L984" s="4">
        <v>891150</v>
      </c>
      <c r="M984" s="4">
        <f>Tabla1[[#This Row],[BASE DEL DIA]]+Tabla1[[#This Row],[ENTREGAS]]+Tabla1[[#This Row],[TARJETAS]]+Tabla1[[#This Row],[NEQUI O QR]]+Tabla1[[#This Row],[VENTAS FE.CREDITO]]-Tabla1[[#This Row],[VENTAS NETAS]]-Tabla1[[#This Row],[BASE ANTERIOR]]</f>
        <v>1100</v>
      </c>
    </row>
    <row r="985" spans="1:13" ht="13.5" customHeight="1" x14ac:dyDescent="0.2">
      <c r="A985" s="1">
        <v>5689</v>
      </c>
      <c r="B985" s="2">
        <v>45371</v>
      </c>
      <c r="C985" s="3" t="s">
        <v>43</v>
      </c>
      <c r="D985" s="1" t="s">
        <v>17</v>
      </c>
      <c r="E985" s="1" t="s">
        <v>23</v>
      </c>
      <c r="F985" s="4">
        <v>3100100</v>
      </c>
      <c r="G985" s="4">
        <v>2668800</v>
      </c>
      <c r="H985" s="4">
        <v>247100</v>
      </c>
      <c r="I985" s="4">
        <v>5500</v>
      </c>
      <c r="J985" s="4">
        <v>128700</v>
      </c>
      <c r="K985" s="4">
        <v>891150</v>
      </c>
      <c r="L985" s="4">
        <v>841750</v>
      </c>
      <c r="M985" s="4">
        <f>Tabla1[[#This Row],[BASE DEL DIA]]+Tabla1[[#This Row],[ENTREGAS]]+Tabla1[[#This Row],[TARJETAS]]+Tabla1[[#This Row],[NEQUI O QR]]+Tabla1[[#This Row],[VENTAS FE.CREDITO]]-Tabla1[[#This Row],[VENTAS NETAS]]-Tabla1[[#This Row],[BASE ANTERIOR]]</f>
        <v>-600</v>
      </c>
    </row>
    <row r="986" spans="1:13" ht="13.5" customHeight="1" x14ac:dyDescent="0.2">
      <c r="A986" s="1">
        <v>5688</v>
      </c>
      <c r="B986" s="2">
        <v>45371</v>
      </c>
      <c r="C986" s="3" t="s">
        <v>58</v>
      </c>
      <c r="D986" s="1" t="s">
        <v>18</v>
      </c>
      <c r="E986" s="1" t="s">
        <v>23</v>
      </c>
      <c r="F986" s="4">
        <v>2677300</v>
      </c>
      <c r="G986" s="4">
        <v>2919750</v>
      </c>
      <c r="H986" s="4">
        <v>5900</v>
      </c>
      <c r="I986" s="4">
        <v>0</v>
      </c>
      <c r="J986" s="4">
        <v>0</v>
      </c>
      <c r="K986" s="4">
        <v>841750</v>
      </c>
      <c r="L986" s="4">
        <v>1089900</v>
      </c>
      <c r="M986" s="4">
        <f>Tabla1[[#This Row],[BASE DEL DIA]]+Tabla1[[#This Row],[ENTREGAS]]+Tabla1[[#This Row],[TARJETAS]]+Tabla1[[#This Row],[NEQUI O QR]]+Tabla1[[#This Row],[VENTAS FE.CREDITO]]-Tabla1[[#This Row],[VENTAS NETAS]]-Tabla1[[#This Row],[BASE ANTERIOR]]</f>
        <v>200</v>
      </c>
    </row>
    <row r="987" spans="1:13" ht="13.5" customHeight="1" x14ac:dyDescent="0.2">
      <c r="A987" s="1">
        <v>5687</v>
      </c>
      <c r="B987" s="2">
        <v>45370</v>
      </c>
      <c r="C987" s="3" t="s">
        <v>52</v>
      </c>
      <c r="D987" s="1" t="s">
        <v>18</v>
      </c>
      <c r="E987" s="1" t="s">
        <v>23</v>
      </c>
      <c r="F987" s="4">
        <v>5153350</v>
      </c>
      <c r="G987" s="4">
        <v>4616100</v>
      </c>
      <c r="H987" s="4">
        <v>444800</v>
      </c>
      <c r="I987" s="4">
        <v>0</v>
      </c>
      <c r="J987" s="4">
        <v>11800</v>
      </c>
      <c r="K987" s="4">
        <v>1089900</v>
      </c>
      <c r="L987" s="4">
        <v>1008250</v>
      </c>
      <c r="M987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</v>
      </c>
    </row>
    <row r="988" spans="1:13" ht="13.5" customHeight="1" x14ac:dyDescent="0.2">
      <c r="A988" s="1">
        <v>5686</v>
      </c>
      <c r="B988" s="2">
        <v>45370</v>
      </c>
      <c r="C988" s="3" t="s">
        <v>57</v>
      </c>
      <c r="D988" s="1" t="s">
        <v>17</v>
      </c>
      <c r="E988" s="1" t="s">
        <v>22</v>
      </c>
      <c r="F988" s="4">
        <v>3225850</v>
      </c>
      <c r="G988" s="4">
        <v>2657800</v>
      </c>
      <c r="H988" s="4">
        <v>409300</v>
      </c>
      <c r="I988" s="4">
        <v>0</v>
      </c>
      <c r="J988" s="4">
        <v>50200</v>
      </c>
      <c r="K988" s="4">
        <v>1008250</v>
      </c>
      <c r="L988" s="4">
        <v>899850</v>
      </c>
      <c r="M988" s="4">
        <f>Tabla1[[#This Row],[BASE DEL DIA]]+Tabla1[[#This Row],[ENTREGAS]]+Tabla1[[#This Row],[TARJETAS]]+Tabla1[[#This Row],[NEQUI O QR]]+Tabla1[[#This Row],[VENTAS FE.CREDITO]]-Tabla1[[#This Row],[VENTAS NETAS]]-Tabla1[[#This Row],[BASE ANTERIOR]]</f>
        <v>-150</v>
      </c>
    </row>
    <row r="989" spans="1:13" ht="13.5" customHeight="1" x14ac:dyDescent="0.2">
      <c r="A989" s="1">
        <v>5685</v>
      </c>
      <c r="B989" s="2">
        <v>45369</v>
      </c>
      <c r="C989" s="3" t="s">
        <v>56</v>
      </c>
      <c r="D989" s="1" t="s">
        <v>17</v>
      </c>
      <c r="E989" s="1" t="s">
        <v>23</v>
      </c>
      <c r="F989" s="4">
        <v>4536400</v>
      </c>
      <c r="G989" s="4">
        <v>4155700</v>
      </c>
      <c r="H989" s="4">
        <v>50100</v>
      </c>
      <c r="I989" s="4">
        <v>413500</v>
      </c>
      <c r="J989" s="4">
        <v>8300</v>
      </c>
      <c r="K989" s="4">
        <v>899850</v>
      </c>
      <c r="L989" s="4">
        <v>988400</v>
      </c>
      <c r="M989" s="4">
        <f>Tabla1[[#This Row],[BASE DEL DIA]]+Tabla1[[#This Row],[ENTREGAS]]+Tabla1[[#This Row],[TARJETAS]]+Tabla1[[#This Row],[NEQUI O QR]]+Tabla1[[#This Row],[VENTAS FE.CREDITO]]-Tabla1[[#This Row],[VENTAS NETAS]]-Tabla1[[#This Row],[BASE ANTERIOR]]</f>
        <v>2650</v>
      </c>
    </row>
    <row r="990" spans="1:13" ht="13.5" customHeight="1" x14ac:dyDescent="0.2">
      <c r="A990" s="1">
        <v>5684</v>
      </c>
      <c r="B990" s="2">
        <v>45369</v>
      </c>
      <c r="C990" s="3" t="s">
        <v>55</v>
      </c>
      <c r="D990" s="1" t="s">
        <v>18</v>
      </c>
      <c r="E990" s="1" t="s">
        <v>22</v>
      </c>
      <c r="F990" s="4">
        <v>2717050</v>
      </c>
      <c r="G990" s="4">
        <v>2396800</v>
      </c>
      <c r="H990" s="4">
        <v>262000</v>
      </c>
      <c r="I990" s="4">
        <v>6900</v>
      </c>
      <c r="J990" s="4">
        <v>20400</v>
      </c>
      <c r="K990" s="4">
        <v>988400</v>
      </c>
      <c r="L990" s="4">
        <v>960700</v>
      </c>
      <c r="M990" s="4">
        <f>Tabla1[[#This Row],[BASE DEL DIA]]+Tabla1[[#This Row],[ENTREGAS]]+Tabla1[[#This Row],[TARJETAS]]+Tabla1[[#This Row],[NEQUI O QR]]+Tabla1[[#This Row],[VENTAS FE.CREDITO]]-Tabla1[[#This Row],[VENTAS NETAS]]-Tabla1[[#This Row],[BASE ANTERIOR]]</f>
        <v>-3250</v>
      </c>
    </row>
    <row r="991" spans="1:13" ht="13.5" customHeight="1" x14ac:dyDescent="0.2">
      <c r="A991" s="1">
        <v>5683</v>
      </c>
      <c r="B991" s="2">
        <v>45368</v>
      </c>
      <c r="C991" s="3" t="s">
        <v>54</v>
      </c>
      <c r="D991" s="1" t="s">
        <v>18</v>
      </c>
      <c r="E991" s="1" t="s">
        <v>23</v>
      </c>
      <c r="F991" s="4">
        <v>5927700</v>
      </c>
      <c r="G991" s="4">
        <v>5593500</v>
      </c>
      <c r="H991" s="4">
        <v>328900</v>
      </c>
      <c r="I991" s="4">
        <v>12000</v>
      </c>
      <c r="J991" s="4">
        <v>79100</v>
      </c>
      <c r="K991" s="4">
        <v>960700</v>
      </c>
      <c r="L991" s="4">
        <v>1045350</v>
      </c>
      <c r="M991" s="4">
        <f>Tabla1[[#This Row],[BASE DEL DIA]]+Tabla1[[#This Row],[ENTREGAS]]+Tabla1[[#This Row],[TARJETAS]]+Tabla1[[#This Row],[NEQUI O QR]]+Tabla1[[#This Row],[VENTAS FE.CREDITO]]-Tabla1[[#This Row],[VENTAS NETAS]]-Tabla1[[#This Row],[BASE ANTERIOR]]</f>
        <v>1150</v>
      </c>
    </row>
    <row r="992" spans="1:13" ht="13.5" customHeight="1" x14ac:dyDescent="0.2">
      <c r="A992" s="1">
        <v>5682</v>
      </c>
      <c r="B992" s="2">
        <v>45368</v>
      </c>
      <c r="C992" s="3" t="s">
        <v>53</v>
      </c>
      <c r="D992" s="1" t="s">
        <v>17</v>
      </c>
      <c r="E992" s="1" t="s">
        <v>22</v>
      </c>
      <c r="F992" s="4">
        <v>5209550</v>
      </c>
      <c r="G992" s="4">
        <v>4790000</v>
      </c>
      <c r="H992" s="4">
        <v>234500</v>
      </c>
      <c r="I992" s="4">
        <v>22900</v>
      </c>
      <c r="J992" s="4">
        <v>0</v>
      </c>
      <c r="K992" s="4">
        <v>1045350</v>
      </c>
      <c r="L992" s="4">
        <v>888500</v>
      </c>
      <c r="M992" s="4">
        <f>Tabla1[[#This Row],[BASE DEL DIA]]+Tabla1[[#This Row],[ENTREGAS]]+Tabla1[[#This Row],[TARJETAS]]+Tabla1[[#This Row],[NEQUI O QR]]+Tabla1[[#This Row],[VENTAS FE.CREDITO]]-Tabla1[[#This Row],[VENTAS NETAS]]-Tabla1[[#This Row],[BASE ANTERIOR]]</f>
        <v>-5300</v>
      </c>
    </row>
    <row r="993" spans="1:13" ht="13.5" customHeight="1" x14ac:dyDescent="0.2">
      <c r="A993" s="1">
        <v>5681</v>
      </c>
      <c r="B993" s="2">
        <v>45367</v>
      </c>
      <c r="C993" s="3" t="s">
        <v>52</v>
      </c>
      <c r="D993" s="1" t="s">
        <v>17</v>
      </c>
      <c r="E993" s="1" t="s">
        <v>23</v>
      </c>
      <c r="F993" s="4">
        <v>6713060</v>
      </c>
      <c r="G993" s="4">
        <v>6155300</v>
      </c>
      <c r="H993" s="4">
        <v>549300</v>
      </c>
      <c r="I993" s="4">
        <v>28700</v>
      </c>
      <c r="J993" s="4">
        <v>500</v>
      </c>
      <c r="K993" s="4">
        <v>888500</v>
      </c>
      <c r="L993" s="4">
        <v>904750</v>
      </c>
      <c r="M993" s="4">
        <f>Tabla1[[#This Row],[BASE DEL DIA]]+Tabla1[[#This Row],[ENTREGAS]]+Tabla1[[#This Row],[TARJETAS]]+Tabla1[[#This Row],[NEQUI O QR]]+Tabla1[[#This Row],[VENTAS FE.CREDITO]]-Tabla1[[#This Row],[VENTAS NETAS]]-Tabla1[[#This Row],[BASE ANTERIOR]]</f>
        <v>4490</v>
      </c>
    </row>
    <row r="994" spans="1:13" ht="13.5" customHeight="1" x14ac:dyDescent="0.2">
      <c r="A994" s="1">
        <v>5680</v>
      </c>
      <c r="B994" s="2">
        <v>45367</v>
      </c>
      <c r="C994" s="3" t="s">
        <v>51</v>
      </c>
      <c r="D994" s="1" t="s">
        <v>18</v>
      </c>
      <c r="E994" s="1" t="s">
        <v>22</v>
      </c>
      <c r="F994" s="4">
        <v>3103300</v>
      </c>
      <c r="G994" s="4">
        <v>2824550</v>
      </c>
      <c r="H994" s="4">
        <v>311500</v>
      </c>
      <c r="I994" s="4">
        <v>0</v>
      </c>
      <c r="J994" s="4">
        <v>33600</v>
      </c>
      <c r="K994" s="4">
        <v>904750</v>
      </c>
      <c r="L994" s="4">
        <v>971800</v>
      </c>
      <c r="M994" s="4">
        <f>Tabla1[[#This Row],[BASE DEL DIA]]+Tabla1[[#This Row],[ENTREGAS]]+Tabla1[[#This Row],[TARJETAS]]+Tabla1[[#This Row],[NEQUI O QR]]+Tabla1[[#This Row],[VENTAS FE.CREDITO]]-Tabla1[[#This Row],[VENTAS NETAS]]-Tabla1[[#This Row],[BASE ANTERIOR]]</f>
        <v>-700</v>
      </c>
    </row>
    <row r="995" spans="1:13" ht="13.5" customHeight="1" x14ac:dyDescent="0.2">
      <c r="A995" s="1">
        <v>5679</v>
      </c>
      <c r="B995" s="2">
        <v>45366</v>
      </c>
      <c r="C995" s="3" t="s">
        <v>50</v>
      </c>
      <c r="D995" s="1" t="s">
        <v>18</v>
      </c>
      <c r="E995" s="1" t="s">
        <v>23</v>
      </c>
      <c r="F995" s="4">
        <v>4246799</v>
      </c>
      <c r="G995" s="4">
        <v>3665000</v>
      </c>
      <c r="H995" s="4">
        <v>628300</v>
      </c>
      <c r="I995" s="4">
        <v>7200</v>
      </c>
      <c r="J995" s="4">
        <v>7200</v>
      </c>
      <c r="K995" s="4">
        <v>971800</v>
      </c>
      <c r="L995" s="4">
        <v>1019750</v>
      </c>
      <c r="M995" s="4">
        <f>Tabla1[[#This Row],[BASE DEL DIA]]+Tabla1[[#This Row],[ENTREGAS]]+Tabla1[[#This Row],[TARJETAS]]+Tabla1[[#This Row],[NEQUI O QR]]+Tabla1[[#This Row],[VENTAS FE.CREDITO]]-Tabla1[[#This Row],[VENTAS NETAS]]-Tabla1[[#This Row],[BASE ANTERIOR]]</f>
        <v>12951</v>
      </c>
    </row>
    <row r="996" spans="1:13" ht="13.5" customHeight="1" x14ac:dyDescent="0.2">
      <c r="A996" s="1">
        <v>5678</v>
      </c>
      <c r="B996" s="2">
        <v>45366</v>
      </c>
      <c r="C996" s="3" t="s">
        <v>49</v>
      </c>
      <c r="D996" s="1" t="s">
        <v>17</v>
      </c>
      <c r="E996" s="1" t="s">
        <v>22</v>
      </c>
      <c r="F996" s="4">
        <v>2681100</v>
      </c>
      <c r="G996" s="4">
        <v>2427150</v>
      </c>
      <c r="H996" s="4">
        <v>115600</v>
      </c>
      <c r="I996" s="4">
        <v>0</v>
      </c>
      <c r="J996" s="4">
        <v>0</v>
      </c>
      <c r="K996" s="4">
        <v>1019750</v>
      </c>
      <c r="L996" s="4">
        <v>878550</v>
      </c>
      <c r="M996" s="4">
        <f>Tabla1[[#This Row],[BASE DEL DIA]]+Tabla1[[#This Row],[ENTREGAS]]+Tabla1[[#This Row],[TARJETAS]]+Tabla1[[#This Row],[NEQUI O QR]]+Tabla1[[#This Row],[VENTAS FE.CREDITO]]-Tabla1[[#This Row],[VENTAS NETAS]]-Tabla1[[#This Row],[BASE ANTERIOR]]</f>
        <v>2850</v>
      </c>
    </row>
    <row r="997" spans="1:13" ht="13.5" customHeight="1" x14ac:dyDescent="0.2">
      <c r="A997" s="1">
        <v>5677</v>
      </c>
      <c r="B997" s="2">
        <v>45365</v>
      </c>
      <c r="C997" s="3" t="s">
        <v>48</v>
      </c>
      <c r="D997" s="1" t="s">
        <v>17</v>
      </c>
      <c r="E997" s="1" t="s">
        <v>23</v>
      </c>
      <c r="F997" s="4">
        <v>2787900</v>
      </c>
      <c r="G997" s="4">
        <v>2760000</v>
      </c>
      <c r="H997" s="4">
        <v>150500</v>
      </c>
      <c r="I997" s="4">
        <v>0</v>
      </c>
      <c r="J997" s="4">
        <v>0</v>
      </c>
      <c r="K997" s="4">
        <v>878550</v>
      </c>
      <c r="L997" s="4">
        <v>1002000</v>
      </c>
      <c r="M997" s="4">
        <f>Tabla1[[#This Row],[BASE DEL DIA]]+Tabla1[[#This Row],[ENTREGAS]]+Tabla1[[#This Row],[TARJETAS]]+Tabla1[[#This Row],[NEQUI O QR]]+Tabla1[[#This Row],[VENTAS FE.CREDITO]]-Tabla1[[#This Row],[VENTAS NETAS]]-Tabla1[[#This Row],[BASE ANTERIOR]]</f>
        <v>-850</v>
      </c>
    </row>
    <row r="998" spans="1:13" ht="13.5" customHeight="1" x14ac:dyDescent="0.2">
      <c r="A998" s="1">
        <v>5676</v>
      </c>
      <c r="B998" s="2">
        <v>45365</v>
      </c>
      <c r="C998" s="3" t="s">
        <v>47</v>
      </c>
      <c r="D998" s="1" t="s">
        <v>18</v>
      </c>
      <c r="E998" s="1" t="s">
        <v>22</v>
      </c>
      <c r="F998" s="4">
        <v>2202700</v>
      </c>
      <c r="G998" s="4">
        <v>2150000</v>
      </c>
      <c r="H998" s="4">
        <v>17000</v>
      </c>
      <c r="I998" s="4">
        <v>10100</v>
      </c>
      <c r="J998" s="4">
        <v>8600</v>
      </c>
      <c r="K998" s="4">
        <v>1002000</v>
      </c>
      <c r="L998" s="4">
        <v>985000</v>
      </c>
      <c r="M998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999" spans="1:13" ht="13.5" customHeight="1" x14ac:dyDescent="0.2">
      <c r="A999" s="1">
        <v>5675</v>
      </c>
      <c r="B999" s="2">
        <v>45364</v>
      </c>
      <c r="C999" s="3" t="s">
        <v>45</v>
      </c>
      <c r="D999" s="1" t="s">
        <v>18</v>
      </c>
      <c r="E999" s="1" t="s">
        <v>23</v>
      </c>
      <c r="F999" s="4">
        <v>3101100</v>
      </c>
      <c r="G999" s="4">
        <v>2960000</v>
      </c>
      <c r="H999" s="4">
        <v>111200</v>
      </c>
      <c r="I999" s="4">
        <v>0</v>
      </c>
      <c r="J999" s="4">
        <v>21700</v>
      </c>
      <c r="K999" s="4">
        <v>985000</v>
      </c>
      <c r="L999" s="4">
        <v>976600</v>
      </c>
      <c r="M999" s="4">
        <f>Tabla1[[#This Row],[BASE DEL DIA]]+Tabla1[[#This Row],[ENTREGAS]]+Tabla1[[#This Row],[TARJETAS]]+Tabla1[[#This Row],[NEQUI O QR]]+Tabla1[[#This Row],[VENTAS FE.CREDITO]]-Tabla1[[#This Row],[VENTAS NETAS]]-Tabla1[[#This Row],[BASE ANTERIOR]]</f>
        <v>200</v>
      </c>
    </row>
    <row r="1000" spans="1:13" ht="13.5" customHeight="1" x14ac:dyDescent="0.2">
      <c r="A1000" s="1">
        <v>5674</v>
      </c>
      <c r="B1000" s="2">
        <v>45364</v>
      </c>
      <c r="C1000" s="3" t="s">
        <v>46</v>
      </c>
      <c r="D1000" s="1" t="s">
        <v>17</v>
      </c>
      <c r="E1000" s="1" t="s">
        <v>22</v>
      </c>
      <c r="F1000" s="4">
        <v>2140500</v>
      </c>
      <c r="G1000" s="4">
        <v>1771000</v>
      </c>
      <c r="H1000" s="4">
        <v>322900</v>
      </c>
      <c r="I1000" s="4">
        <v>0</v>
      </c>
      <c r="J1000" s="4">
        <v>18900</v>
      </c>
      <c r="K1000" s="4">
        <v>976600</v>
      </c>
      <c r="L1000" s="4">
        <v>942450</v>
      </c>
      <c r="M1000" s="4">
        <f>Tabla1[[#This Row],[BASE DEL DIA]]+Tabla1[[#This Row],[ENTREGAS]]+Tabla1[[#This Row],[TARJETAS]]+Tabla1[[#This Row],[NEQUI O QR]]+Tabla1[[#This Row],[VENTAS FE.CREDITO]]-Tabla1[[#This Row],[VENTAS NETAS]]-Tabla1[[#This Row],[BASE ANTERIOR]]</f>
        <v>6450</v>
      </c>
    </row>
    <row r="1001" spans="1:13" ht="13.5" customHeight="1" x14ac:dyDescent="0.2">
      <c r="A1001" s="1">
        <v>5673</v>
      </c>
      <c r="B1001" s="2">
        <v>45363</v>
      </c>
      <c r="C1001" s="3" t="s">
        <v>45</v>
      </c>
      <c r="D1001" s="1" t="s">
        <v>17</v>
      </c>
      <c r="E1001" s="1" t="s">
        <v>23</v>
      </c>
      <c r="F1001" s="4">
        <v>3538900</v>
      </c>
      <c r="G1001" s="4">
        <v>3200000</v>
      </c>
      <c r="H1001" s="4">
        <v>215700</v>
      </c>
      <c r="I1001" s="4">
        <v>83300</v>
      </c>
      <c r="J1001" s="4">
        <v>0</v>
      </c>
      <c r="K1001" s="4">
        <v>942450</v>
      </c>
      <c r="L1001" s="4">
        <v>901550</v>
      </c>
      <c r="M1001" s="4">
        <f>Tabla1[[#This Row],[BASE DEL DIA]]+Tabla1[[#This Row],[ENTREGAS]]+Tabla1[[#This Row],[TARJETAS]]+Tabla1[[#This Row],[NEQUI O QR]]+Tabla1[[#This Row],[VENTAS FE.CREDITO]]-Tabla1[[#This Row],[VENTAS NETAS]]-Tabla1[[#This Row],[BASE ANTERIOR]]</f>
        <v>1000</v>
      </c>
    </row>
    <row r="1002" spans="1:13" ht="13.5" customHeight="1" x14ac:dyDescent="0.2">
      <c r="A1002" s="1">
        <v>5672</v>
      </c>
      <c r="B1002" s="2">
        <v>45363</v>
      </c>
      <c r="C1002" s="3" t="s">
        <v>44</v>
      </c>
      <c r="D1002" s="1" t="s">
        <v>18</v>
      </c>
      <c r="E1002" s="1" t="s">
        <v>22</v>
      </c>
      <c r="F1002" s="4">
        <v>1528500</v>
      </c>
      <c r="G1002" s="4">
        <v>1520000</v>
      </c>
      <c r="H1002" s="4">
        <v>104500</v>
      </c>
      <c r="I1002" s="4">
        <v>0</v>
      </c>
      <c r="J1002" s="4">
        <v>0</v>
      </c>
      <c r="K1002" s="4">
        <v>901550</v>
      </c>
      <c r="L1002" s="4">
        <v>995950</v>
      </c>
      <c r="M1002" s="4">
        <f>Tabla1[[#This Row],[BASE DEL DIA]]+Tabla1[[#This Row],[ENTREGAS]]+Tabla1[[#This Row],[TARJETAS]]+Tabla1[[#This Row],[NEQUI O QR]]+Tabla1[[#This Row],[VENTAS FE.CREDITO]]-Tabla1[[#This Row],[VENTAS NETAS]]-Tabla1[[#This Row],[BASE ANTERIOR]]</f>
        <v>1600</v>
      </c>
    </row>
    <row r="1003" spans="1:13" ht="13.5" customHeight="1" x14ac:dyDescent="0.2">
      <c r="A1003" s="1">
        <v>5671</v>
      </c>
      <c r="B1003" s="2">
        <v>45362</v>
      </c>
      <c r="C1003" s="3" t="s">
        <v>43</v>
      </c>
      <c r="D1003" s="1" t="s">
        <v>17</v>
      </c>
      <c r="E1003" s="1" t="s">
        <v>24</v>
      </c>
      <c r="F1003" s="4">
        <v>5957700</v>
      </c>
      <c r="G1003" s="4">
        <v>5500150</v>
      </c>
      <c r="H1003" s="4">
        <v>206300</v>
      </c>
      <c r="I1003" s="4">
        <v>0</v>
      </c>
      <c r="K1003" s="4">
        <v>995950</v>
      </c>
      <c r="L1003" s="4">
        <v>740050</v>
      </c>
      <c r="M1003" s="4">
        <f>Tabla1[[#This Row],[BASE DEL DIA]]+Tabla1[[#This Row],[ENTREGAS]]+Tabla1[[#This Row],[TARJETAS]]+Tabla1[[#This Row],[NEQUI O QR]]+Tabla1[[#This Row],[VENTAS FE.CREDITO]]-Tabla1[[#This Row],[VENTAS NETAS]]-Tabla1[[#This Row],[BASE ANTERIOR]]</f>
        <v>4650</v>
      </c>
    </row>
    <row r="1004" spans="1:13" ht="13.5" customHeight="1" x14ac:dyDescent="0.2">
      <c r="A1004" s="1">
        <v>5670</v>
      </c>
      <c r="B1004" s="2">
        <v>45361</v>
      </c>
      <c r="C1004" s="3" t="s">
        <v>42</v>
      </c>
      <c r="D1004" s="1" t="s">
        <v>19</v>
      </c>
      <c r="E1004" s="1" t="s">
        <v>22</v>
      </c>
      <c r="F1004" s="4">
        <v>4528350</v>
      </c>
      <c r="G1004" s="4">
        <v>4330000</v>
      </c>
      <c r="H1004" s="4">
        <v>244300</v>
      </c>
      <c r="I1004" s="4">
        <v>4500</v>
      </c>
      <c r="K1004" s="4">
        <v>740050</v>
      </c>
      <c r="L1004" s="4">
        <v>794900</v>
      </c>
      <c r="M1004" s="4">
        <f>Tabla1[[#This Row],[BASE DEL DIA]]+Tabla1[[#This Row],[ENTREGAS]]+Tabla1[[#This Row],[TARJETAS]]+Tabla1[[#This Row],[NEQUI O QR]]+Tabla1[[#This Row],[VENTAS FE.CREDITO]]-Tabla1[[#This Row],[VENTAS NETAS]]-Tabla1[[#This Row],[BASE ANTERIOR]]</f>
        <v>-4400</v>
      </c>
    </row>
    <row r="1005" spans="1:13" ht="13.5" customHeight="1" x14ac:dyDescent="0.2">
      <c r="A1005" s="1">
        <v>5669</v>
      </c>
      <c r="B1005" s="2">
        <v>45361</v>
      </c>
      <c r="C1005" s="3" t="s">
        <v>41</v>
      </c>
      <c r="D1005" s="1" t="s">
        <v>18</v>
      </c>
      <c r="E1005" s="1" t="s">
        <v>22</v>
      </c>
      <c r="F1005" s="4">
        <v>2742150</v>
      </c>
      <c r="G1005" s="4">
        <v>2820000</v>
      </c>
      <c r="H1005" s="4">
        <v>12500</v>
      </c>
      <c r="I1005" s="4">
        <v>0</v>
      </c>
      <c r="J1005" s="4">
        <v>0</v>
      </c>
      <c r="K1005" s="4">
        <v>794900</v>
      </c>
      <c r="L1005" s="4">
        <v>881400</v>
      </c>
      <c r="M1005" s="4">
        <f>Tabla1[[#This Row],[BASE DEL DIA]]+Tabla1[[#This Row],[ENTREGAS]]+Tabla1[[#This Row],[TARJETAS]]+Tabla1[[#This Row],[NEQUI O QR]]+Tabla1[[#This Row],[VENTAS FE.CREDITO]]-Tabla1[[#This Row],[VENTAS NETAS]]-Tabla1[[#This Row],[BASE ANTERIOR]]</f>
        <v>3850</v>
      </c>
    </row>
    <row r="1006" spans="1:13" ht="13.5" customHeight="1" x14ac:dyDescent="0.2">
      <c r="A1006" s="1">
        <v>5668</v>
      </c>
      <c r="B1006" s="2">
        <v>45360</v>
      </c>
      <c r="C1006" s="3" t="s">
        <v>40</v>
      </c>
      <c r="D1006" s="1" t="s">
        <v>18</v>
      </c>
      <c r="E1006" s="1" t="s">
        <v>23</v>
      </c>
      <c r="F1006" s="4">
        <v>4627200</v>
      </c>
      <c r="G1006" s="4">
        <v>3900000</v>
      </c>
      <c r="H1006" s="4">
        <v>110800</v>
      </c>
      <c r="I1006" s="4">
        <v>682700</v>
      </c>
      <c r="J1006" s="4">
        <v>0</v>
      </c>
      <c r="K1006" s="4">
        <v>881400</v>
      </c>
      <c r="L1006" s="4">
        <v>947300</v>
      </c>
      <c r="M1006" s="4">
        <f>Tabla1[[#This Row],[BASE DEL DIA]]+Tabla1[[#This Row],[ENTREGAS]]+Tabla1[[#This Row],[TARJETAS]]+Tabla1[[#This Row],[NEQUI O QR]]+Tabla1[[#This Row],[VENTAS FE.CREDITO]]-Tabla1[[#This Row],[VENTAS NETAS]]-Tabla1[[#This Row],[BASE ANTERIOR]]</f>
        <v>400</v>
      </c>
    </row>
    <row r="1007" spans="1:13" ht="13.5" customHeight="1" x14ac:dyDescent="0.2">
      <c r="A1007" s="1">
        <v>5667</v>
      </c>
      <c r="B1007" s="2">
        <v>45360</v>
      </c>
      <c r="C1007" s="3" t="s">
        <v>39</v>
      </c>
      <c r="D1007" s="1" t="s">
        <v>17</v>
      </c>
      <c r="E1007" s="1" t="s">
        <v>22</v>
      </c>
      <c r="F1007" s="4">
        <v>2262000</v>
      </c>
      <c r="G1007" s="4">
        <v>2024400</v>
      </c>
      <c r="H1007" s="4">
        <v>184700</v>
      </c>
      <c r="I1007" s="4">
        <v>6400</v>
      </c>
      <c r="J1007" s="4">
        <v>0</v>
      </c>
      <c r="K1007" s="4">
        <v>947300</v>
      </c>
      <c r="L1007" s="4">
        <v>900500</v>
      </c>
      <c r="M1007" s="4">
        <f>Tabla1[[#This Row],[BASE DEL DIA]]+Tabla1[[#This Row],[ENTREGAS]]+Tabla1[[#This Row],[TARJETAS]]+Tabla1[[#This Row],[NEQUI O QR]]+Tabla1[[#This Row],[VENTAS FE.CREDITO]]-Tabla1[[#This Row],[VENTAS NETAS]]-Tabla1[[#This Row],[BASE ANTERIOR]]</f>
        <v>300</v>
      </c>
    </row>
    <row r="1008" spans="1:13" ht="13.5" customHeight="1" x14ac:dyDescent="0.2">
      <c r="A1008" s="1">
        <v>5666</v>
      </c>
      <c r="B1008" s="2">
        <v>45360</v>
      </c>
      <c r="C1008" s="3">
        <v>0.86458333333333337</v>
      </c>
      <c r="D1008" s="1" t="s">
        <v>17</v>
      </c>
      <c r="E1008" s="1" t="s">
        <v>23</v>
      </c>
      <c r="F1008" s="4">
        <v>3220200</v>
      </c>
      <c r="G1008" s="4">
        <v>2923800</v>
      </c>
      <c r="H1008" s="4">
        <v>420700</v>
      </c>
      <c r="I1008" s="4">
        <v>10600</v>
      </c>
      <c r="J1008" s="4">
        <v>0</v>
      </c>
      <c r="K1008" s="4">
        <v>900500</v>
      </c>
      <c r="L1008" s="4">
        <v>1033750</v>
      </c>
      <c r="M1008" s="4">
        <f>Tabla1[[#This Row],[BASE DEL DIA]]+Tabla1[[#This Row],[ENTREGAS]]+Tabla1[[#This Row],[TARJETAS]]+Tabla1[[#This Row],[NEQUI O QR]]+Tabla1[[#This Row],[VENTAS FE.CREDITO]]-Tabla1[[#This Row],[VENTAS NETAS]]-Tabla1[[#This Row],[BASE ANTERIOR]]</f>
        <v>1650</v>
      </c>
    </row>
    <row r="1009" spans="1:13" ht="13.5" customHeight="1" x14ac:dyDescent="0.2">
      <c r="A1009" s="1">
        <v>5665</v>
      </c>
      <c r="B1009" s="2">
        <v>45360</v>
      </c>
      <c r="C1009" s="3">
        <v>0.5625</v>
      </c>
      <c r="D1009" s="1" t="s">
        <v>18</v>
      </c>
      <c r="E1009" s="1" t="s">
        <v>22</v>
      </c>
      <c r="F1009" s="4">
        <v>3045550</v>
      </c>
      <c r="G1009" s="4">
        <v>2854300</v>
      </c>
      <c r="H1009" s="4">
        <v>75000</v>
      </c>
      <c r="I1009" s="4">
        <v>0</v>
      </c>
      <c r="J1009" s="4">
        <v>0</v>
      </c>
      <c r="K1009" s="4">
        <v>1033750</v>
      </c>
      <c r="L1009" s="4">
        <v>917600</v>
      </c>
      <c r="M1009" s="4">
        <f>Tabla1[[#This Row],[BASE DEL DIA]]+Tabla1[[#This Row],[ENTREGAS]]+Tabla1[[#This Row],[TARJETAS]]+Tabla1[[#This Row],[NEQUI O QR]]+Tabla1[[#This Row],[VENTAS FE.CREDITO]]-Tabla1[[#This Row],[VENTAS NETAS]]-Tabla1[[#This Row],[BASE ANTERIOR]]</f>
        <v>-100</v>
      </c>
    </row>
    <row r="1010" spans="1:13" ht="13.5" customHeight="1" x14ac:dyDescent="0.2">
      <c r="A1010" s="1">
        <v>5664</v>
      </c>
      <c r="B1010" s="2">
        <v>45359</v>
      </c>
      <c r="C1010" s="3" t="s">
        <v>34</v>
      </c>
      <c r="D1010" s="1" t="s">
        <v>18</v>
      </c>
      <c r="E1010" s="1" t="s">
        <v>23</v>
      </c>
      <c r="F1010" s="4">
        <v>3076100</v>
      </c>
      <c r="G1010" s="4">
        <v>3090000</v>
      </c>
      <c r="H1010" s="4">
        <v>134900</v>
      </c>
      <c r="I1010" s="4">
        <v>0</v>
      </c>
      <c r="J1010" s="4">
        <v>0</v>
      </c>
      <c r="K1010" s="4">
        <v>917600</v>
      </c>
      <c r="L1010" s="4">
        <v>1061550</v>
      </c>
      <c r="M1010" s="4">
        <f>Tabla1[[#This Row],[BASE DEL DIA]]+Tabla1[[#This Row],[ENTREGAS]]+Tabla1[[#This Row],[TARJETAS]]+Tabla1[[#This Row],[NEQUI O QR]]+Tabla1[[#This Row],[VENTAS FE.CREDITO]]-Tabla1[[#This Row],[VENTAS NETAS]]-Tabla1[[#This Row],[BASE ANTERIOR]]</f>
        <v>4850</v>
      </c>
    </row>
    <row r="1011" spans="1:13" ht="13.5" customHeight="1" x14ac:dyDescent="0.2">
      <c r="M1011" s="4">
        <f>Tabla1[[#This Row],[BASE DEL DIA]]+Tabla1[[#This Row],[ENTREGAS]]+Tabla1[[#This Row],[TARJETAS]]+Tabla1[[#This Row],[NEQUI O QR]]+Tabla1[[#This Row],[VENTAS FE.CREDITO]]-Tabla1[[#This Row],[VENTAS NETAS]]-Tabla1[[#This Row],[BASE ANTERIOR]]</f>
        <v>0</v>
      </c>
    </row>
    <row r="1012" spans="1:13" ht="13.5" customHeight="1" x14ac:dyDescent="0.2"/>
    <row r="1013" spans="1:13" ht="13.5" customHeight="1" x14ac:dyDescent="0.2"/>
    <row r="1014" spans="1:13" ht="13.5" customHeight="1" x14ac:dyDescent="0.2"/>
    <row r="1015" spans="1:13" ht="13.5" customHeight="1" x14ac:dyDescent="0.2"/>
    <row r="1016" spans="1:13" ht="13.5" customHeight="1" x14ac:dyDescent="0.2"/>
    <row r="1017" spans="1:13" ht="13.5" customHeight="1" x14ac:dyDescent="0.2"/>
    <row r="1018" spans="1:13" ht="13.5" customHeight="1" x14ac:dyDescent="0.2"/>
    <row r="1019" spans="1:13" ht="13.5" customHeight="1" x14ac:dyDescent="0.2"/>
    <row r="1020" spans="1:13" ht="13.5" customHeight="1" x14ac:dyDescent="0.2"/>
    <row r="1021" spans="1:13" ht="13.5" customHeight="1" x14ac:dyDescent="0.2"/>
    <row r="1022" spans="1:13" ht="13.5" customHeight="1" x14ac:dyDescent="0.2"/>
    <row r="1023" spans="1:13" ht="13.5" customHeight="1" x14ac:dyDescent="0.2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6C86A-F77A-4009-B914-E7834CF4EA8C}">
  <sheetPr codeName="Hoja3"/>
  <dimension ref="A1:B11"/>
  <sheetViews>
    <sheetView tabSelected="1" workbookViewId="0">
      <selection activeCell="C19" sqref="C19"/>
    </sheetView>
  </sheetViews>
  <sheetFormatPr baseColWidth="10" defaultRowHeight="15" x14ac:dyDescent="0.2"/>
  <sheetData>
    <row r="1" spans="1:2" x14ac:dyDescent="0.2">
      <c r="A1" t="s">
        <v>15</v>
      </c>
      <c r="B1" t="s">
        <v>3</v>
      </c>
    </row>
    <row r="2" spans="1:2" x14ac:dyDescent="0.2">
      <c r="A2" t="s">
        <v>16</v>
      </c>
      <c r="B2" t="s">
        <v>22</v>
      </c>
    </row>
    <row r="3" spans="1:2" x14ac:dyDescent="0.2">
      <c r="A3" t="s">
        <v>18</v>
      </c>
      <c r="B3" t="s">
        <v>23</v>
      </c>
    </row>
    <row r="4" spans="1:2" x14ac:dyDescent="0.2">
      <c r="A4" t="s">
        <v>17</v>
      </c>
      <c r="B4" t="s">
        <v>24</v>
      </c>
    </row>
    <row r="5" spans="1:2" x14ac:dyDescent="0.2">
      <c r="A5" t="s">
        <v>19</v>
      </c>
    </row>
    <row r="6" spans="1:2" x14ac:dyDescent="0.2">
      <c r="A6" t="s">
        <v>20</v>
      </c>
    </row>
    <row r="7" spans="1:2" x14ac:dyDescent="0.2">
      <c r="A7" t="s">
        <v>196</v>
      </c>
    </row>
    <row r="8" spans="1:2" x14ac:dyDescent="0.2">
      <c r="A8" t="s">
        <v>98</v>
      </c>
    </row>
    <row r="9" spans="1:2" x14ac:dyDescent="0.2">
      <c r="A9" t="s">
        <v>133</v>
      </c>
    </row>
    <row r="10" spans="1:2" x14ac:dyDescent="0.2">
      <c r="A10" t="s">
        <v>180</v>
      </c>
    </row>
    <row r="11" spans="1:2" x14ac:dyDescent="0.2">
      <c r="A11" t="s">
        <v>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CUADRE CAJA</vt:lpstr>
      <vt:lpstr>BASE DE DATOS</vt:lpstr>
      <vt:lpstr>IMFORMACION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german salazar marquez</dc:creator>
  <cp:lastModifiedBy>Miguel Angel Salazar Garcia</cp:lastModifiedBy>
  <dcterms:created xsi:type="dcterms:W3CDTF">2015-06-05T18:19:34Z</dcterms:created>
  <dcterms:modified xsi:type="dcterms:W3CDTF">2026-06-09T20:22:59Z</dcterms:modified>
</cp:coreProperties>
</file>